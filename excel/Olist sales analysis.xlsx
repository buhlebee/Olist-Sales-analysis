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6.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DELL\Downloads\archive (2)\"/>
    </mc:Choice>
  </mc:AlternateContent>
  <xr:revisionPtr revIDLastSave="0" documentId="8_{08746A59-A23D-4606-ACC1-852D1E8DA276}" xr6:coauthVersionLast="47" xr6:coauthVersionMax="47" xr10:uidLastSave="{00000000-0000-0000-0000-000000000000}"/>
  <bookViews>
    <workbookView xWindow="-108" yWindow="-108" windowWidth="23256" windowHeight="13176" xr2:uid="{B34C0BCC-9FD5-4FA3-9C87-5B5DCEEB661E}"/>
  </bookViews>
  <sheets>
    <sheet name="FINAL DASHBOARD" sheetId="13" r:id="rId1"/>
    <sheet name="sales_per_category_" sheetId="6" state="hidden" r:id="rId2"/>
    <sheet name="sales_per_customer_region_" sheetId="7" state="hidden" r:id="rId3"/>
    <sheet name="sales_per_seller_region_" sheetId="8" state="hidden" r:id="rId4"/>
    <sheet name="Pivot table Category Region" sheetId="11" state="hidden" r:id="rId5"/>
    <sheet name="Dashboard" sheetId="12" state="hidden" r:id="rId6"/>
    <sheet name="Sales_per_Category_Region_" sheetId="9" state="hidden" r:id="rId7"/>
    <sheet name="Monthly_Sales" sheetId="10" state="hidden" r:id="rId8"/>
  </sheets>
  <definedNames>
    <definedName name="ExternalData_1" localSheetId="7" hidden="1">Monthly_Sales!$A$1:$C$25</definedName>
    <definedName name="ExternalData_1" localSheetId="1" hidden="1">sales_per_category_!$A$1:$D$74</definedName>
    <definedName name="ExternalData_1" localSheetId="6" hidden="1">Sales_per_Category_Region_!$A$1:$D$1383</definedName>
    <definedName name="ExternalData_1" localSheetId="2" hidden="1">sales_per_customer_region_!$A$1:$C$28</definedName>
    <definedName name="ExternalData_1" localSheetId="3" hidden="1">sales_per_seller_region_!$A$1:$C$24</definedName>
    <definedName name="Slicer_Months__Month">#N/A</definedName>
    <definedName name="Slicer_Years__Month">#N/A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6" l="1"/>
  <c r="F6" i="6"/>
  <c r="C75" i="6"/>
  <c r="D75" i="6"/>
  <c r="H6" i="13"/>
  <c r="J15" i="10"/>
  <c r="AO18" i="13"/>
  <c r="F4" i="6" l="1"/>
  <c r="F5"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59748C-3BAC-4D8C-9ABD-C6F79701DF94}" keepAlive="1" name="Query - monthly_sales_202606221309" description="Connection to the 'monthly_sales_202606221309' query in the workbook." type="5" refreshedVersion="8" background="1" saveData="1">
    <dbPr connection="Provider=Microsoft.Mashup.OleDb.1;Data Source=$Workbook$;Location=monthly_sales_202606221309;Extended Properties=&quot;&quot;" command="SELECT * FROM [monthly_sales_202606221309]"/>
  </connection>
  <connection id="2" xr16:uid="{9948F68B-59A5-4150-916B-7E3F9CA3A0A6}" keepAlive="1" name="Query - sales_per_category_202606221307" description="Connection to the 'sales_per_category_202606221307' query in the workbook." type="5" refreshedVersion="8" background="1" saveData="1">
    <dbPr connection="Provider=Microsoft.Mashup.OleDb.1;Data Source=$Workbook$;Location=sales_per_category_202606221307;Extended Properties=&quot;&quot;" command="SELECT * FROM [sales_per_category_202606221307]"/>
  </connection>
  <connection id="3" xr16:uid="{B5AAEB8D-B3D2-4865-AC51-D07F60C7E651}" keepAlive="1" name="Query - sales_per_category_region_202606221309" description="Connection to the 'sales_per_category_region_202606221309' query in the workbook." type="5" refreshedVersion="8" background="1" saveData="1">
    <dbPr connection="Provider=Microsoft.Mashup.OleDb.1;Data Source=$Workbook$;Location=sales_per_category_region_202606221309;Extended Properties=&quot;&quot;" command="SELECT * FROM [sales_per_category_region_202606221309]"/>
  </connection>
  <connection id="4" xr16:uid="{8051A03E-9391-4BC1-90F7-013C9AE43B38}" keepAlive="1" name="Query - sales_per_customer_region_202606221308" description="Connection to the 'sales_per_customer_region_202606221308' query in the workbook." type="5" refreshedVersion="8" background="1" saveData="1">
    <dbPr connection="Provider=Microsoft.Mashup.OleDb.1;Data Source=$Workbook$;Location=sales_per_customer_region_202606221308;Extended Properties=&quot;&quot;" command="SELECT * FROM [sales_per_customer_region_202606221308]"/>
  </connection>
  <connection id="5" xr16:uid="{AED54199-2235-41EE-A156-FE11E14D8C2B}" keepAlive="1" name="Query - sales_per_seller_region_202606221308" description="Connection to the 'sales_per_seller_region_202606221308' query in the workbook." type="5" refreshedVersion="8" background="1" saveData="1">
    <dbPr connection="Provider=Microsoft.Mashup.OleDb.1;Data Source=$Workbook$;Location=sales_per_seller_region_202606221308;Extended Properties=&quot;&quot;" command="SELECT * FROM [sales_per_seller_region_202606221308]"/>
  </connection>
</connections>
</file>

<file path=xl/sharedStrings.xml><?xml version="1.0" encoding="utf-8"?>
<sst xmlns="http://schemas.openxmlformats.org/spreadsheetml/2006/main" count="3052" uniqueCount="136">
  <si>
    <t>category</t>
  </si>
  <si>
    <t>total_price</t>
  </si>
  <si>
    <t>total_freight_value</t>
  </si>
  <si>
    <t>order_count</t>
  </si>
  <si>
    <t>health_beauty</t>
  </si>
  <si>
    <t>watches_gifts</t>
  </si>
  <si>
    <t>bed_bath_table</t>
  </si>
  <si>
    <t>sports_leisure</t>
  </si>
  <si>
    <t>computers_accessories</t>
  </si>
  <si>
    <t>furniture_decor</t>
  </si>
  <si>
    <t>housewares</t>
  </si>
  <si>
    <t>cool_stuff</t>
  </si>
  <si>
    <t>auto</t>
  </si>
  <si>
    <t>garden_tools</t>
  </si>
  <si>
    <t>toys</t>
  </si>
  <si>
    <t>baby</t>
  </si>
  <si>
    <t>perfumery</t>
  </si>
  <si>
    <t>telephony</t>
  </si>
  <si>
    <t>office_furniture</t>
  </si>
  <si>
    <t>stationery</t>
  </si>
  <si>
    <t>computers</t>
  </si>
  <si>
    <t>pet_shop</t>
  </si>
  <si>
    <t>small_appliances</t>
  </si>
  <si>
    <t>musical_instruments</t>
  </si>
  <si>
    <t>uncategorized</t>
  </si>
  <si>
    <t>electronics</t>
  </si>
  <si>
    <t>consoles_games</t>
  </si>
  <si>
    <t>fashion_bags_accessories</t>
  </si>
  <si>
    <t>construction_tools_construction</t>
  </si>
  <si>
    <t>luggage_accessories</t>
  </si>
  <si>
    <t>home_appliances_2</t>
  </si>
  <si>
    <t>home_construction</t>
  </si>
  <si>
    <t>home_appliances</t>
  </si>
  <si>
    <t>agro_industry_and_commerce</t>
  </si>
  <si>
    <t>furniture_living_room</t>
  </si>
  <si>
    <t>home_confort</t>
  </si>
  <si>
    <t>fixed_telephony</t>
  </si>
  <si>
    <t>air_conditioning</t>
  </si>
  <si>
    <t>audio</t>
  </si>
  <si>
    <t>small_appliances_home_oven_and_coffee</t>
  </si>
  <si>
    <t>kitchen_dining_laundry_garden_furniture</t>
  </si>
  <si>
    <t>books_general_interest</t>
  </si>
  <si>
    <t>construction_tools_lights</t>
  </si>
  <si>
    <t>industry_commerce_and_business</t>
  </si>
  <si>
    <t>construction_tools_safety</t>
  </si>
  <si>
    <t>food</t>
  </si>
  <si>
    <t>market_place</t>
  </si>
  <si>
    <t>costruction_tools_garden</t>
  </si>
  <si>
    <t>art</t>
  </si>
  <si>
    <t>fashion_shoes</t>
  </si>
  <si>
    <t>drinks</t>
  </si>
  <si>
    <t>signaling_and_security</t>
  </si>
  <si>
    <t>furniture_bedroom</t>
  </si>
  <si>
    <t>books_technical</t>
  </si>
  <si>
    <t>costruction_tools_tools</t>
  </si>
  <si>
    <t>food_drink</t>
  </si>
  <si>
    <t>fashion_male_clothing</t>
  </si>
  <si>
    <t>fashion_underwear_beach</t>
  </si>
  <si>
    <t>christmas_supplies</t>
  </si>
  <si>
    <t>tablets_printing_image</t>
  </si>
  <si>
    <t>cine_photo</t>
  </si>
  <si>
    <t>music</t>
  </si>
  <si>
    <t>books_imported</t>
  </si>
  <si>
    <t>dvds_blu_ray</t>
  </si>
  <si>
    <t>party_supplies</t>
  </si>
  <si>
    <t>furniture_mattress_and_upholstery</t>
  </si>
  <si>
    <t>fashio_female_clothing</t>
  </si>
  <si>
    <t>fashion_sport</t>
  </si>
  <si>
    <t>la_cuisine</t>
  </si>
  <si>
    <t>arts_and_craftmanship</t>
  </si>
  <si>
    <t>diapers_and_hygiene</t>
  </si>
  <si>
    <t>flowers</t>
  </si>
  <si>
    <t>home_comfort_2</t>
  </si>
  <si>
    <t>cds_dvds_musicals</t>
  </si>
  <si>
    <t>fashion_childrens_clothes</t>
  </si>
  <si>
    <t>security_and_services</t>
  </si>
  <si>
    <t>customer_state</t>
  </si>
  <si>
    <t>SP</t>
  </si>
  <si>
    <t>RJ</t>
  </si>
  <si>
    <t>MG</t>
  </si>
  <si>
    <t>RS</t>
  </si>
  <si>
    <t>PR</t>
  </si>
  <si>
    <t>SC</t>
  </si>
  <si>
    <t>BA</t>
  </si>
  <si>
    <t>DF</t>
  </si>
  <si>
    <t>GO</t>
  </si>
  <si>
    <t>ES</t>
  </si>
  <si>
    <t>PE</t>
  </si>
  <si>
    <t>CE</t>
  </si>
  <si>
    <t>PA</t>
  </si>
  <si>
    <t>MT</t>
  </si>
  <si>
    <t>MA</t>
  </si>
  <si>
    <t>MS</t>
  </si>
  <si>
    <t>PB</t>
  </si>
  <si>
    <t>PI</t>
  </si>
  <si>
    <t>RN</t>
  </si>
  <si>
    <t>AL</t>
  </si>
  <si>
    <t>SE</t>
  </si>
  <si>
    <t>TO</t>
  </si>
  <si>
    <t>RO</t>
  </si>
  <si>
    <t>AM</t>
  </si>
  <si>
    <t>AC</t>
  </si>
  <si>
    <t>AP</t>
  </si>
  <si>
    <t>RR</t>
  </si>
  <si>
    <t>seller_state</t>
  </si>
  <si>
    <t>(All)</t>
  </si>
  <si>
    <t>Grand Total</t>
  </si>
  <si>
    <t>Total Revenue</t>
  </si>
  <si>
    <t>Category</t>
  </si>
  <si>
    <t>Month</t>
  </si>
  <si>
    <t>other</t>
  </si>
  <si>
    <t xml:space="preserve">  </t>
  </si>
  <si>
    <t>Top 15 categories</t>
  </si>
  <si>
    <t>Revenue per Category</t>
  </si>
  <si>
    <t>Customer state</t>
  </si>
  <si>
    <t>Revenue per Region</t>
  </si>
  <si>
    <t>Seller State</t>
  </si>
  <si>
    <t>Row Labels</t>
  </si>
  <si>
    <t>2017</t>
  </si>
  <si>
    <t>Dec</t>
  </si>
  <si>
    <t>Jan</t>
  </si>
  <si>
    <t>Feb</t>
  </si>
  <si>
    <t>Mar</t>
  </si>
  <si>
    <t>Apr</t>
  </si>
  <si>
    <t>May</t>
  </si>
  <si>
    <t>Jun</t>
  </si>
  <si>
    <t>Jul</t>
  </si>
  <si>
    <t>Aug</t>
  </si>
  <si>
    <t>Sep</t>
  </si>
  <si>
    <t>Oct</t>
  </si>
  <si>
    <t>Nov</t>
  </si>
  <si>
    <t>2016</t>
  </si>
  <si>
    <t>2018</t>
  </si>
  <si>
    <t>&lt;01/09/2016</t>
  </si>
  <si>
    <t>monthly revenue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</si>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</sst>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
  </numFmts>
  <fonts count="2" x14ac:knownFonts="1">
    <font>
      <sz val="11"/>
      <color theme="1"/>
      <name val="Aptos Narrow"/>
      <family val="2"/>
      <scheme val="minor"/>
    </font>
    <font>
      <sz val="11"/>
      <color theme="1" tint="0.1499984740745262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2" borderId="0" xfId="0" applyFill="1"/>
    <xf numFmtId="0" fontId="0" fillId="2" borderId="0" xfId="0" applyFill="1" applyAlignment="1">
      <alignment horizontal="left"/>
    </xf>
    <xf numFmtId="3" fontId="0" fillId="2" borderId="0" xfId="0" applyNumberFormat="1" applyFill="1"/>
    <xf numFmtId="0" fontId="0" fillId="0" borderId="0" xfId="0" applyAlignment="1">
      <alignment horizontal="left" indent="1"/>
    </xf>
    <xf numFmtId="0" fontId="0" fillId="3" borderId="0" xfId="0" applyFill="1"/>
    <xf numFmtId="0" fontId="1" fillId="3" borderId="0" xfId="0" applyFont="1" applyFill="1"/>
    <xf numFmtId="3" fontId="0" fillId="3" borderId="0" xfId="0" applyNumberFormat="1" applyFill="1"/>
    <xf numFmtId="0" fontId="0" fillId="0" borderId="0" xfId="0" applyNumberFormat="1"/>
  </cellXfs>
  <cellStyles count="1">
    <cellStyle name="Normal" xfId="0" builtinId="0"/>
  </cellStyles>
  <dxfs count="22">
    <dxf>
      <numFmt numFmtId="3" formatCode="#,##0"/>
    </dxf>
    <dxf>
      <numFmt numFmtId="164" formatCode="yyyy\-mm"/>
    </dxf>
    <dxf>
      <numFmt numFmtId="0" formatCode="General"/>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font>
        <color theme="0"/>
      </font>
    </dxf>
    <dxf>
      <fill>
        <patternFill>
          <bgColor theme="1" tint="0.24994659260841701"/>
        </patternFill>
      </fill>
      <border diagonalUp="0" diagonalDown="0">
        <left/>
        <right/>
        <top/>
        <bottom/>
        <vertical/>
        <horizontal/>
      </border>
    </dxf>
    <dxf>
      <fill>
        <patternFill>
          <bgColor theme="1" tint="0.24994659260841701"/>
        </patternFill>
      </fill>
    </dxf>
  </dxfs>
  <tableStyles count="3" defaultTableStyle="TableStyleMedium2" defaultPivotStyle="PivotStyleLight16">
    <tableStyle name="Slicer Style 1" pivot="0" table="0" count="0" xr9:uid="{4671AAC9-07E4-4786-8CEA-F4B544BE61DE}"/>
    <tableStyle name="Slicer Style 2" pivot="0" table="0" count="1" xr9:uid="{FBA788E1-1462-451F-8E58-DC53720A94ED}">
      <tableStyleElement type="wholeTable" dxfId="21"/>
    </tableStyle>
    <tableStyle name="Slicer Style 3" pivot="0" table="0" count="5" xr9:uid="{D28DC50F-28F1-4247-8A52-C8F933A0F8BF}">
      <tableStyleElement type="wholeTable" dxfId="20"/>
      <tableStyleElement type="headerRow" dxfId="19"/>
    </tableStyle>
  </tableStyles>
  <colors>
    <mruColors>
      <color rgb="FF383838"/>
      <color rgb="FF303030"/>
      <color rgb="FF323232"/>
      <color rgb="FF2E2E2E"/>
      <color rgb="FF3A3A3A"/>
      <color rgb="FF333333"/>
      <color rgb="FF4D4D4D"/>
      <color rgb="FF292929"/>
      <color rgb="FF3F3F3F"/>
      <color rgb="FF414141"/>
    </mruColors>
  </colors>
  <extLst>
    <ext xmlns:x14="http://schemas.microsoft.com/office/spreadsheetml/2009/9/main" uri="{46F421CA-312F-682f-3DD2-61675219B42D}">
      <x14:dxfs count="3">
        <dxf>
          <fill>
            <patternFill>
              <bgColor theme="1" tint="0.499984740745262"/>
            </patternFill>
          </fill>
        </dxf>
        <dxf>
          <font>
            <color theme="0"/>
          </font>
          <fill>
            <patternFill>
              <bgColor theme="1" tint="0.499984740745262"/>
            </patternFill>
          </fill>
          <border>
            <left style="thick">
              <color auto="1"/>
            </left>
            <right style="thick">
              <color auto="1"/>
            </right>
            <top style="thick">
              <color auto="1"/>
            </top>
            <bottom style="thick">
              <color auto="1"/>
            </bottom>
          </border>
        </dxf>
        <dxf>
          <font>
            <color theme="0"/>
          </font>
          <fill>
            <patternFill>
              <bgColor theme="1" tint="0.499984740745262"/>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 sales analysis.xlsx]Monthly_Sales!PivotTable1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Monthly</a:t>
            </a:r>
            <a:r>
              <a:rPr lang="en-US" sz="900" baseline="0"/>
              <a:t> revenue trend</a:t>
            </a:r>
            <a:endParaRPr lang="en-US"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Monthly_Sales!$G$1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Monthly_Sales!$F$2:$F$30</c:f>
              <c:multiLvlStrCache>
                <c:ptCount val="24"/>
                <c:lvl>
                  <c:pt idx="0">
                    <c:v>&lt;01/09/2016</c:v>
                  </c:pt>
                  <c:pt idx="1">
                    <c:v>Sep</c:v>
                  </c:pt>
                  <c:pt idx="2">
                    <c:v>Oct</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lvl>
                <c:lvl>
                  <c:pt idx="0">
                    <c:v>&lt;01/09/2016</c:v>
                  </c:pt>
                  <c:pt idx="1">
                    <c:v>2016</c:v>
                  </c:pt>
                  <c:pt idx="4">
                    <c:v>2017</c:v>
                  </c:pt>
                  <c:pt idx="16">
                    <c:v>2018</c:v>
                  </c:pt>
                </c:lvl>
              </c:multiLvlStrCache>
            </c:multiLvlStrRef>
          </c:cat>
          <c:val>
            <c:numRef>
              <c:f>Monthly_Sales!$G$2:$G$30</c:f>
              <c:numCache>
                <c:formatCode>General</c:formatCode>
                <c:ptCount val="24"/>
                <c:pt idx="1">
                  <c:v>207.86</c:v>
                </c:pt>
                <c:pt idx="2">
                  <c:v>44507.3</c:v>
                </c:pt>
                <c:pt idx="3">
                  <c:v>10.9</c:v>
                </c:pt>
                <c:pt idx="4">
                  <c:v>120098.27</c:v>
                </c:pt>
                <c:pt idx="5">
                  <c:v>244959.35</c:v>
                </c:pt>
                <c:pt idx="6">
                  <c:v>368341.32</c:v>
                </c:pt>
                <c:pt idx="7">
                  <c:v>353842.98</c:v>
                </c:pt>
                <c:pt idx="8">
                  <c:v>503159.19</c:v>
                </c:pt>
                <c:pt idx="9">
                  <c:v>429916.61</c:v>
                </c:pt>
                <c:pt idx="10">
                  <c:v>492287.3</c:v>
                </c:pt>
                <c:pt idx="11">
                  <c:v>568245.79</c:v>
                </c:pt>
                <c:pt idx="12">
                  <c:v>621415.91</c:v>
                </c:pt>
                <c:pt idx="13">
                  <c:v>660179.62</c:v>
                </c:pt>
                <c:pt idx="14">
                  <c:v>1003862.14</c:v>
                </c:pt>
                <c:pt idx="15">
                  <c:v>742183.79</c:v>
                </c:pt>
                <c:pt idx="16">
                  <c:v>945456.29</c:v>
                </c:pt>
                <c:pt idx="17">
                  <c:v>837895.43</c:v>
                </c:pt>
                <c:pt idx="18">
                  <c:v>981051.06</c:v>
                </c:pt>
                <c:pt idx="19">
                  <c:v>993592.98</c:v>
                </c:pt>
                <c:pt idx="20">
                  <c:v>992871.75</c:v>
                </c:pt>
                <c:pt idx="21">
                  <c:v>863265.53</c:v>
                </c:pt>
                <c:pt idx="22">
                  <c:v>878044.27</c:v>
                </c:pt>
                <c:pt idx="23">
                  <c:v>848860.1</c:v>
                </c:pt>
              </c:numCache>
            </c:numRef>
          </c:val>
          <c:smooth val="0"/>
          <c:extLst>
            <c:ext xmlns:c16="http://schemas.microsoft.com/office/drawing/2014/chart" uri="{C3380CC4-5D6E-409C-BE32-E72D297353CC}">
              <c16:uniqueId val="{00000030-72C9-4E15-AAA0-19D1F3ED6C25}"/>
            </c:ext>
          </c:extLst>
        </c:ser>
        <c:dLbls>
          <c:showLegendKey val="0"/>
          <c:showVal val="0"/>
          <c:showCatName val="0"/>
          <c:showSerName val="0"/>
          <c:showPercent val="0"/>
          <c:showBubbleSize val="0"/>
        </c:dLbls>
        <c:marker val="1"/>
        <c:smooth val="0"/>
        <c:axId val="1031222911"/>
        <c:axId val="1031239711"/>
      </c:lineChart>
      <c:catAx>
        <c:axId val="103122291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239711"/>
        <c:crosses val="autoZero"/>
        <c:auto val="1"/>
        <c:lblAlgn val="ctr"/>
        <c:lblOffset val="150"/>
        <c:tickMarkSkip val="1"/>
        <c:noMultiLvlLbl val="0"/>
      </c:catAx>
      <c:valAx>
        <c:axId val="1031239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222911"/>
        <c:crossesAt val="1"/>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5875">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 sales analysis.xlsx]Dashboard!PivotTable1</c:name>
    <c:fmtId val="44"/>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Top</a:t>
            </a:r>
            <a:r>
              <a:rPr lang="en-US" sz="900" baseline="0"/>
              <a:t> 15 categories</a:t>
            </a:r>
            <a:endParaRPr lang="en-US" sz="900"/>
          </a:p>
        </c:rich>
      </c:tx>
      <c:layout>
        <c:manualLayout>
          <c:xMode val="edge"/>
          <c:yMode val="edge"/>
          <c:x val="0.40528365328593974"/>
          <c:y val="4.9019607843137254E-3"/>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258142528931851"/>
          <c:y val="7.2254902701110818E-2"/>
          <c:w val="0.64912753558985037"/>
          <c:h val="0.77971846963064773"/>
        </c:manualLayout>
      </c:layout>
      <c:barChart>
        <c:barDir val="bar"/>
        <c:grouping val="stack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52-416A-B1AF-3D5FF35D859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52-416A-B1AF-3D5FF35D859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52-416A-B1AF-3D5FF35D859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52-416A-B1AF-3D5FF35D8597}"/>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B52-416A-B1AF-3D5FF35D8597}"/>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B52-416A-B1AF-3D5FF35D859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B52-416A-B1AF-3D5FF35D8597}"/>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B52-416A-B1AF-3D5FF35D8597}"/>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B52-416A-B1AF-3D5FF35D8597}"/>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B52-416A-B1AF-3D5FF35D8597}"/>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B52-416A-B1AF-3D5FF35D8597}"/>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B52-416A-B1AF-3D5FF35D8597}"/>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B52-416A-B1AF-3D5FF35D8597}"/>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B52-416A-B1AF-3D5FF35D8597}"/>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B52-416A-B1AF-3D5FF35D8597}"/>
              </c:ext>
            </c:extLst>
          </c:dPt>
          <c:cat>
            <c:strRef>
              <c:f>Dashboard!$A$4:$A$19</c:f>
              <c:strCache>
                <c:ptCount val="15"/>
                <c:pt idx="0">
                  <c:v>health_beauty</c:v>
                </c:pt>
                <c:pt idx="1">
                  <c:v>watches_gifts</c:v>
                </c:pt>
                <c:pt idx="2">
                  <c:v>bed_bath_table</c:v>
                </c:pt>
                <c:pt idx="3">
                  <c:v>sports_leisure</c:v>
                </c:pt>
                <c:pt idx="4">
                  <c:v>computers_accessories</c:v>
                </c:pt>
                <c:pt idx="5">
                  <c:v>furniture_decor</c:v>
                </c:pt>
                <c:pt idx="6">
                  <c:v>housewares</c:v>
                </c:pt>
                <c:pt idx="7">
                  <c:v>cool_stuff</c:v>
                </c:pt>
                <c:pt idx="8">
                  <c:v>auto</c:v>
                </c:pt>
                <c:pt idx="9">
                  <c:v>garden_tools</c:v>
                </c:pt>
                <c:pt idx="10">
                  <c:v>toys</c:v>
                </c:pt>
                <c:pt idx="11">
                  <c:v>baby</c:v>
                </c:pt>
                <c:pt idx="12">
                  <c:v>perfumery</c:v>
                </c:pt>
                <c:pt idx="13">
                  <c:v>telephony</c:v>
                </c:pt>
                <c:pt idx="14">
                  <c:v>office_furniture</c:v>
                </c:pt>
              </c:strCache>
            </c:strRef>
          </c:cat>
          <c:val>
            <c:numRef>
              <c:f>Dashboard!$B$4:$B$19</c:f>
              <c:numCache>
                <c:formatCode>#,##0</c:formatCode>
                <c:ptCount val="15"/>
                <c:pt idx="0">
                  <c:v>1255695.1300000004</c:v>
                </c:pt>
                <c:pt idx="1">
                  <c:v>1198185.2099999997</c:v>
                </c:pt>
                <c:pt idx="2">
                  <c:v>1035964.0599999998</c:v>
                </c:pt>
                <c:pt idx="3">
                  <c:v>979740.91999999993</c:v>
                </c:pt>
                <c:pt idx="4">
                  <c:v>904322.02</c:v>
                </c:pt>
                <c:pt idx="5">
                  <c:v>727465.04999999993</c:v>
                </c:pt>
                <c:pt idx="6">
                  <c:v>626825.79999999993</c:v>
                </c:pt>
                <c:pt idx="7">
                  <c:v>620770.49000000011</c:v>
                </c:pt>
                <c:pt idx="8">
                  <c:v>586585.73000000021</c:v>
                </c:pt>
                <c:pt idx="9">
                  <c:v>481009.94000000006</c:v>
                </c:pt>
                <c:pt idx="10">
                  <c:v>479808.54000000004</c:v>
                </c:pt>
                <c:pt idx="11">
                  <c:v>410312.20000000013</c:v>
                </c:pt>
                <c:pt idx="12">
                  <c:v>396599.31</c:v>
                </c:pt>
                <c:pt idx="13">
                  <c:v>322342.64000000007</c:v>
                </c:pt>
                <c:pt idx="14">
                  <c:v>273580.69999999995</c:v>
                </c:pt>
              </c:numCache>
            </c:numRef>
          </c:val>
          <c:extLst>
            <c:ext xmlns:c16="http://schemas.microsoft.com/office/drawing/2014/chart" uri="{C3380CC4-5D6E-409C-BE32-E72D297353CC}">
              <c16:uniqueId val="{0000001E-BB52-416A-B1AF-3D5FF35D8597}"/>
            </c:ext>
          </c:extLst>
        </c:ser>
        <c:dLbls>
          <c:showLegendKey val="0"/>
          <c:showVal val="0"/>
          <c:showCatName val="0"/>
          <c:showSerName val="0"/>
          <c:showPercent val="0"/>
          <c:showBubbleSize val="0"/>
        </c:dLbls>
        <c:gapWidth val="100"/>
        <c:overlap val="100"/>
        <c:axId val="1079420816"/>
        <c:axId val="1079419856"/>
      </c:barChart>
      <c:valAx>
        <c:axId val="107941985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420816"/>
        <c:crosses val="autoZero"/>
        <c:crossBetween val="between"/>
      </c:valAx>
      <c:catAx>
        <c:axId val="107942081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crossAx val="10794198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2225">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 sales analysis.xlsx]sales_per_customer_region_!PivotTable20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Revenue</a:t>
            </a:r>
            <a:r>
              <a:rPr lang="en-US" sz="900" baseline="0"/>
              <a:t> per customer state</a:t>
            </a:r>
            <a:endParaRPr lang="en-US" sz="900"/>
          </a:p>
        </c:rich>
      </c:tx>
      <c:layout>
        <c:manualLayout>
          <c:xMode val="edge"/>
          <c:yMode val="edge"/>
          <c:x val="0.33286519433689576"/>
          <c:y val="1.02249488752556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sales_per_customer_region_!$F$1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5B-4E76-8A38-93622C0FCD1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5B-4E76-8A38-93622C0FCD1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5B-4E76-8A38-93622C0FCD1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5B-4E76-8A38-93622C0FCD1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5B-4E76-8A38-93622C0FCD19}"/>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5B-4E76-8A38-93622C0FCD19}"/>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5B-4E76-8A38-93622C0FCD19}"/>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5B-4E76-8A38-93622C0FCD19}"/>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5B-4E76-8A38-93622C0FCD19}"/>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5B-4E76-8A38-93622C0FCD19}"/>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15B-4E76-8A38-93622C0FCD19}"/>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15B-4E76-8A38-93622C0FCD19}"/>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15B-4E76-8A38-93622C0FCD19}"/>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15B-4E76-8A38-93622C0FCD19}"/>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15B-4E76-8A38-93622C0FCD19}"/>
              </c:ext>
            </c:extLst>
          </c:dPt>
          <c:dPt>
            <c:idx val="1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15B-4E76-8A38-93622C0FCD19}"/>
              </c:ext>
            </c:extLst>
          </c:dPt>
          <c:dPt>
            <c:idx val="1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15B-4E76-8A38-93622C0FCD19}"/>
              </c:ext>
            </c:extLst>
          </c:dPt>
          <c:dPt>
            <c:idx val="1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15B-4E76-8A38-93622C0FCD19}"/>
              </c:ext>
            </c:extLst>
          </c:dPt>
          <c:dPt>
            <c:idx val="1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15B-4E76-8A38-93622C0FCD19}"/>
              </c:ext>
            </c:extLst>
          </c:dPt>
          <c:dPt>
            <c:idx val="1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15B-4E76-8A38-93622C0FCD19}"/>
              </c:ext>
            </c:extLst>
          </c:dPt>
          <c:dPt>
            <c:idx val="2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15B-4E76-8A38-93622C0FCD19}"/>
              </c:ext>
            </c:extLst>
          </c:dPt>
          <c:dPt>
            <c:idx val="2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15B-4E76-8A38-93622C0FCD19}"/>
              </c:ext>
            </c:extLst>
          </c:dPt>
          <c:dPt>
            <c:idx val="2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15B-4E76-8A38-93622C0FCD19}"/>
              </c:ext>
            </c:extLst>
          </c:dPt>
          <c:dPt>
            <c:idx val="2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15B-4E76-8A38-93622C0FCD19}"/>
              </c:ext>
            </c:extLst>
          </c:dPt>
          <c:dPt>
            <c:idx val="2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15B-4E76-8A38-93622C0FCD19}"/>
              </c:ext>
            </c:extLst>
          </c:dPt>
          <c:dPt>
            <c:idx val="2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15B-4E76-8A38-93622C0FCD19}"/>
              </c:ext>
            </c:extLst>
          </c:dPt>
          <c:dPt>
            <c:idx val="2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15B-4E76-8A38-93622C0FCD19}"/>
              </c:ext>
            </c:extLst>
          </c:dPt>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cat>
            <c:strRef>
              <c:f>sales_per_customer_region_!$E$2:$E$29</c:f>
              <c:strCache>
                <c:ptCount val="27"/>
                <c:pt idx="0">
                  <c:v>SP</c:v>
                </c:pt>
                <c:pt idx="1">
                  <c:v>RJ</c:v>
                </c:pt>
                <c:pt idx="2">
                  <c:v>MG</c:v>
                </c:pt>
                <c:pt idx="3">
                  <c:v>RS</c:v>
                </c:pt>
                <c:pt idx="4">
                  <c:v>PR</c:v>
                </c:pt>
                <c:pt idx="5">
                  <c:v>SC</c:v>
                </c:pt>
                <c:pt idx="6">
                  <c:v>BA</c:v>
                </c:pt>
                <c:pt idx="7">
                  <c:v>DF</c:v>
                </c:pt>
                <c:pt idx="8">
                  <c:v>GO</c:v>
                </c:pt>
                <c:pt idx="9">
                  <c:v>ES</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sales_per_customer_region_!$F$2:$F$29</c:f>
              <c:numCache>
                <c:formatCode>General</c:formatCode>
                <c:ptCount val="27"/>
                <c:pt idx="0">
                  <c:v>5163867.22</c:v>
                </c:pt>
                <c:pt idx="1">
                  <c:v>1811623.42</c:v>
                </c:pt>
                <c:pt idx="2">
                  <c:v>1573508.2</c:v>
                </c:pt>
                <c:pt idx="3">
                  <c:v>742559.78</c:v>
                </c:pt>
                <c:pt idx="4">
                  <c:v>676883.06</c:v>
                </c:pt>
                <c:pt idx="5">
                  <c:v>518578.28</c:v>
                </c:pt>
                <c:pt idx="6">
                  <c:v>507108.83</c:v>
                </c:pt>
                <c:pt idx="7">
                  <c:v>300886.45</c:v>
                </c:pt>
                <c:pt idx="8">
                  <c:v>287870.46000000002</c:v>
                </c:pt>
                <c:pt idx="9">
                  <c:v>273532.13</c:v>
                </c:pt>
                <c:pt idx="10">
                  <c:v>261739.94</c:v>
                </c:pt>
                <c:pt idx="11">
                  <c:v>226264.06</c:v>
                </c:pt>
                <c:pt idx="12">
                  <c:v>178821.12</c:v>
                </c:pt>
                <c:pt idx="13">
                  <c:v>156313.53</c:v>
                </c:pt>
                <c:pt idx="14">
                  <c:v>119291.62</c:v>
                </c:pt>
                <c:pt idx="15">
                  <c:v>116754.65</c:v>
                </c:pt>
                <c:pt idx="16">
                  <c:v>114874.1</c:v>
                </c:pt>
                <c:pt idx="17">
                  <c:v>86660.09</c:v>
                </c:pt>
                <c:pt idx="18">
                  <c:v>83034.98</c:v>
                </c:pt>
                <c:pt idx="19">
                  <c:v>80314.81</c:v>
                </c:pt>
                <c:pt idx="20">
                  <c:v>58920.85</c:v>
                </c:pt>
                <c:pt idx="21">
                  <c:v>49407.99</c:v>
                </c:pt>
                <c:pt idx="22">
                  <c:v>46031.64</c:v>
                </c:pt>
                <c:pt idx="23">
                  <c:v>22356.84</c:v>
                </c:pt>
                <c:pt idx="24">
                  <c:v>15982.95</c:v>
                </c:pt>
                <c:pt idx="25">
                  <c:v>13474.3</c:v>
                </c:pt>
                <c:pt idx="26">
                  <c:v>7739.44</c:v>
                </c:pt>
              </c:numCache>
            </c:numRef>
          </c:val>
          <c:extLst>
            <c:ext xmlns:c16="http://schemas.microsoft.com/office/drawing/2014/chart" uri="{C3380CC4-5D6E-409C-BE32-E72D297353CC}">
              <c16:uniqueId val="{00000039-715B-4E76-8A38-93622C0FCD19}"/>
            </c:ext>
          </c:extLst>
        </c:ser>
        <c:dLbls>
          <c:showLegendKey val="0"/>
          <c:showVal val="0"/>
          <c:showCatName val="0"/>
          <c:showSerName val="0"/>
          <c:showPercent val="0"/>
          <c:showBubbleSize val="0"/>
        </c:dLbls>
        <c:gapWidth val="100"/>
        <c:axId val="1333738335"/>
        <c:axId val="1333739775"/>
      </c:barChart>
      <c:catAx>
        <c:axId val="13337383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739775"/>
        <c:crossesAt val="100000"/>
        <c:auto val="1"/>
        <c:lblAlgn val="ctr"/>
        <c:lblOffset val="100"/>
        <c:noMultiLvlLbl val="0"/>
      </c:catAx>
      <c:valAx>
        <c:axId val="133373977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73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 sales analysis.xlsx]sales_per_seller_region_!PivotTable21</c:name>
    <c:fmtId val="9"/>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Revenue</a:t>
            </a:r>
            <a:r>
              <a:rPr lang="en-US" sz="900" baseline="0"/>
              <a:t> per seller state</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sales_per_seller_region_!$F$1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cat>
            <c:strRef>
              <c:f>sales_per_seller_region_!$E$2:$E$25</c:f>
              <c:strCache>
                <c:ptCount val="23"/>
                <c:pt idx="0">
                  <c:v>SP</c:v>
                </c:pt>
                <c:pt idx="1">
                  <c:v>PR</c:v>
                </c:pt>
                <c:pt idx="2">
                  <c:v>MG</c:v>
                </c:pt>
                <c:pt idx="3">
                  <c:v>RJ</c:v>
                </c:pt>
                <c:pt idx="4">
                  <c:v>SC</c:v>
                </c:pt>
                <c:pt idx="5">
                  <c:v>RS</c:v>
                </c:pt>
                <c:pt idx="6">
                  <c:v>BA</c:v>
                </c:pt>
                <c:pt idx="7">
                  <c:v>DF</c:v>
                </c:pt>
                <c:pt idx="8">
                  <c:v>PE</c:v>
                </c:pt>
                <c:pt idx="9">
                  <c:v>GO</c:v>
                </c:pt>
                <c:pt idx="10">
                  <c:v>ES</c:v>
                </c:pt>
                <c:pt idx="11">
                  <c:v>MA</c:v>
                </c:pt>
                <c:pt idx="12">
                  <c:v>CE</c:v>
                </c:pt>
                <c:pt idx="13">
                  <c:v>PB</c:v>
                </c:pt>
                <c:pt idx="14">
                  <c:v>MT</c:v>
                </c:pt>
                <c:pt idx="15">
                  <c:v>RN</c:v>
                </c:pt>
                <c:pt idx="16">
                  <c:v>MS</c:v>
                </c:pt>
                <c:pt idx="17">
                  <c:v>RO</c:v>
                </c:pt>
                <c:pt idx="18">
                  <c:v>PI</c:v>
                </c:pt>
                <c:pt idx="19">
                  <c:v>SE</c:v>
                </c:pt>
                <c:pt idx="20">
                  <c:v>PA</c:v>
                </c:pt>
                <c:pt idx="21">
                  <c:v>AM</c:v>
                </c:pt>
                <c:pt idx="22">
                  <c:v>AC</c:v>
                </c:pt>
              </c:strCache>
            </c:strRef>
          </c:cat>
          <c:val>
            <c:numRef>
              <c:f>sales_per_seller_region_!$F$2:$F$25</c:f>
              <c:numCache>
                <c:formatCode>General</c:formatCode>
                <c:ptCount val="23"/>
                <c:pt idx="0">
                  <c:v>8687740.3499999996</c:v>
                </c:pt>
                <c:pt idx="1">
                  <c:v>1256874.01</c:v>
                </c:pt>
                <c:pt idx="2">
                  <c:v>1001944.76</c:v>
                </c:pt>
                <c:pt idx="3">
                  <c:v>837466.37</c:v>
                </c:pt>
                <c:pt idx="4">
                  <c:v>624002.96</c:v>
                </c:pt>
                <c:pt idx="5">
                  <c:v>377726.85</c:v>
                </c:pt>
                <c:pt idx="6">
                  <c:v>285332.57</c:v>
                </c:pt>
                <c:pt idx="7">
                  <c:v>97100.479999999996</c:v>
                </c:pt>
                <c:pt idx="8">
                  <c:v>91463.95</c:v>
                </c:pt>
                <c:pt idx="9">
                  <c:v>66251.72</c:v>
                </c:pt>
                <c:pt idx="10">
                  <c:v>47629.62</c:v>
                </c:pt>
                <c:pt idx="11">
                  <c:v>36408.949999999997</c:v>
                </c:pt>
                <c:pt idx="12">
                  <c:v>20175.740000000002</c:v>
                </c:pt>
                <c:pt idx="13">
                  <c:v>17095</c:v>
                </c:pt>
                <c:pt idx="14">
                  <c:v>17070.72</c:v>
                </c:pt>
                <c:pt idx="15">
                  <c:v>9992.6</c:v>
                </c:pt>
                <c:pt idx="16">
                  <c:v>8551.69</c:v>
                </c:pt>
                <c:pt idx="17">
                  <c:v>4762.2</c:v>
                </c:pt>
                <c:pt idx="18">
                  <c:v>2522</c:v>
                </c:pt>
                <c:pt idx="19">
                  <c:v>1606.2</c:v>
                </c:pt>
                <c:pt idx="20">
                  <c:v>1238</c:v>
                </c:pt>
                <c:pt idx="21">
                  <c:v>1177</c:v>
                </c:pt>
                <c:pt idx="22">
                  <c:v>267</c:v>
                </c:pt>
              </c:numCache>
            </c:numRef>
          </c:val>
          <c:extLst>
            <c:ext xmlns:c16="http://schemas.microsoft.com/office/drawing/2014/chart" uri="{C3380CC4-5D6E-409C-BE32-E72D297353CC}">
              <c16:uniqueId val="{00000000-1B49-4ED9-8353-B0D17213021A}"/>
            </c:ext>
          </c:extLst>
        </c:ser>
        <c:dLbls>
          <c:showLegendKey val="0"/>
          <c:showVal val="0"/>
          <c:showCatName val="0"/>
          <c:showSerName val="0"/>
          <c:showPercent val="0"/>
          <c:showBubbleSize val="0"/>
        </c:dLbls>
        <c:gapWidth val="150"/>
        <c:axId val="1937577519"/>
        <c:axId val="1937583279"/>
      </c:barChart>
      <c:catAx>
        <c:axId val="193757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83279"/>
        <c:crosses val="autoZero"/>
        <c:auto val="1"/>
        <c:lblAlgn val="ctr"/>
        <c:lblOffset val="100"/>
        <c:noMultiLvlLbl val="0"/>
      </c:catAx>
      <c:valAx>
        <c:axId val="193758327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7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Monthly_Sales!$B$1</c:f>
              <c:strCache>
                <c:ptCount val="1"/>
                <c:pt idx="0">
                  <c:v>Total Revenue</c:v>
                </c:pt>
              </c:strCache>
            </c:strRef>
          </c:tx>
          <c:spPr>
            <a:ln w="28575" cap="rnd">
              <a:solidFill>
                <a:schemeClr val="accent1"/>
              </a:solidFill>
              <a:round/>
            </a:ln>
            <a:effectLst/>
          </c:spPr>
          <c:marker>
            <c:symbol val="none"/>
          </c:marker>
          <c:cat>
            <c:numRef>
              <c:f>Monthly_Sales!$A$2:$A$24</c:f>
              <c:numCache>
                <c:formatCode>yyyy\-mm</c:formatCode>
                <c:ptCount val="23"/>
                <c:pt idx="0">
                  <c:v>42614</c:v>
                </c:pt>
                <c:pt idx="1">
                  <c:v>42644</c:v>
                </c:pt>
                <c:pt idx="2">
                  <c:v>42705</c:v>
                </c:pt>
                <c:pt idx="3">
                  <c:v>42736</c:v>
                </c:pt>
                <c:pt idx="4">
                  <c:v>42767</c:v>
                </c:pt>
                <c:pt idx="5">
                  <c:v>42795</c:v>
                </c:pt>
                <c:pt idx="6">
                  <c:v>42826</c:v>
                </c:pt>
                <c:pt idx="7">
                  <c:v>42856</c:v>
                </c:pt>
                <c:pt idx="8">
                  <c:v>42887</c:v>
                </c:pt>
                <c:pt idx="9">
                  <c:v>42917</c:v>
                </c:pt>
                <c:pt idx="10">
                  <c:v>42948</c:v>
                </c:pt>
                <c:pt idx="11">
                  <c:v>42979</c:v>
                </c:pt>
                <c:pt idx="12">
                  <c:v>43009</c:v>
                </c:pt>
                <c:pt idx="13">
                  <c:v>43040</c:v>
                </c:pt>
                <c:pt idx="14">
                  <c:v>43070</c:v>
                </c:pt>
                <c:pt idx="15">
                  <c:v>43101</c:v>
                </c:pt>
                <c:pt idx="16">
                  <c:v>43132</c:v>
                </c:pt>
                <c:pt idx="17">
                  <c:v>43160</c:v>
                </c:pt>
                <c:pt idx="18">
                  <c:v>43191</c:v>
                </c:pt>
                <c:pt idx="19">
                  <c:v>43221</c:v>
                </c:pt>
                <c:pt idx="20">
                  <c:v>43252</c:v>
                </c:pt>
                <c:pt idx="21">
                  <c:v>43282</c:v>
                </c:pt>
                <c:pt idx="22">
                  <c:v>43313</c:v>
                </c:pt>
              </c:numCache>
            </c:numRef>
          </c:cat>
          <c:val>
            <c:numRef>
              <c:f>Monthly_Sales!$B$2:$B$24</c:f>
              <c:numCache>
                <c:formatCode>#,##0</c:formatCode>
                <c:ptCount val="23"/>
                <c:pt idx="0">
                  <c:v>207.86</c:v>
                </c:pt>
                <c:pt idx="1">
                  <c:v>44507.3</c:v>
                </c:pt>
                <c:pt idx="2">
                  <c:v>10.9</c:v>
                </c:pt>
                <c:pt idx="3">
                  <c:v>120098.27</c:v>
                </c:pt>
                <c:pt idx="4">
                  <c:v>244959.35</c:v>
                </c:pt>
                <c:pt idx="5">
                  <c:v>368341.32</c:v>
                </c:pt>
                <c:pt idx="6">
                  <c:v>353842.98</c:v>
                </c:pt>
                <c:pt idx="7">
                  <c:v>503159.19</c:v>
                </c:pt>
                <c:pt idx="8">
                  <c:v>429916.61</c:v>
                </c:pt>
                <c:pt idx="9">
                  <c:v>492287.3</c:v>
                </c:pt>
                <c:pt idx="10">
                  <c:v>568245.79</c:v>
                </c:pt>
                <c:pt idx="11">
                  <c:v>621415.91</c:v>
                </c:pt>
                <c:pt idx="12">
                  <c:v>660179.62</c:v>
                </c:pt>
                <c:pt idx="13">
                  <c:v>1003862.14</c:v>
                </c:pt>
                <c:pt idx="14">
                  <c:v>742183.79</c:v>
                </c:pt>
                <c:pt idx="15">
                  <c:v>945456.29</c:v>
                </c:pt>
                <c:pt idx="16">
                  <c:v>837895.43</c:v>
                </c:pt>
                <c:pt idx="17">
                  <c:v>981051.06</c:v>
                </c:pt>
                <c:pt idx="18">
                  <c:v>993592.98</c:v>
                </c:pt>
                <c:pt idx="19">
                  <c:v>992871.75</c:v>
                </c:pt>
                <c:pt idx="20">
                  <c:v>863265.53</c:v>
                </c:pt>
                <c:pt idx="21">
                  <c:v>878044.27</c:v>
                </c:pt>
                <c:pt idx="22">
                  <c:v>848860.1</c:v>
                </c:pt>
              </c:numCache>
            </c:numRef>
          </c:val>
          <c:smooth val="0"/>
          <c:extLst>
            <c:ext xmlns:c16="http://schemas.microsoft.com/office/drawing/2014/chart" uri="{C3380CC4-5D6E-409C-BE32-E72D297353CC}">
              <c16:uniqueId val="{00000000-D44E-4BEB-96B2-164E0B45AA53}"/>
            </c:ext>
          </c:extLst>
        </c:ser>
        <c:dLbls>
          <c:showLegendKey val="0"/>
          <c:showVal val="0"/>
          <c:showCatName val="0"/>
          <c:showSerName val="0"/>
          <c:showPercent val="0"/>
          <c:showBubbleSize val="0"/>
        </c:dLbls>
        <c:smooth val="0"/>
        <c:axId val="1412634415"/>
        <c:axId val="1412639215"/>
      </c:lineChart>
      <c:dateAx>
        <c:axId val="1412634415"/>
        <c:scaling>
          <c:orientation val="minMax"/>
        </c:scaling>
        <c:delete val="0"/>
        <c:axPos val="b"/>
        <c:numFmt formatCode="yyyy\-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39215"/>
        <c:crosses val="autoZero"/>
        <c:auto val="1"/>
        <c:lblOffset val="100"/>
        <c:baseTimeUnit val="months"/>
      </c:dateAx>
      <c:valAx>
        <c:axId val="1412639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3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solidFill>
          <a:schemeClr val="bg1">
            <a:lumMod val="95000"/>
          </a:schemeClr>
        </a:solidFill>
        <a:ln>
          <a:solidFill>
            <a:schemeClr val="bg1">
              <a:lumMod val="95000"/>
            </a:schemeClr>
          </a:solidFill>
        </a:ln>
        <a:effectLst/>
        <a:sp3d>
          <a:contourClr>
            <a:schemeClr val="bg1">
              <a:lumMod val="95000"/>
            </a:schemeClr>
          </a:contourClr>
        </a:sp3d>
      </c:spPr>
    </c:sideWall>
    <c:backWall>
      <c:thickness val="0"/>
      <c:spPr>
        <a:solidFill>
          <a:schemeClr val="bg1">
            <a:lumMod val="95000"/>
          </a:schemeClr>
        </a:solidFill>
        <a:ln>
          <a:solidFill>
            <a:schemeClr val="bg1">
              <a:lumMod val="95000"/>
            </a:schemeClr>
          </a:solidFill>
        </a:ln>
        <a:effectLst/>
        <a:sp3d>
          <a:contourClr>
            <a:schemeClr val="bg1">
              <a:lumMod val="95000"/>
            </a:schemeClr>
          </a:contourClr>
        </a:sp3d>
      </c:spPr>
    </c:backWall>
    <c:plotArea>
      <c:layout/>
      <c:bar3DChart>
        <c:barDir val="bar"/>
        <c:grouping val="clustered"/>
        <c:varyColors val="0"/>
        <c:ser>
          <c:idx val="0"/>
          <c:order val="0"/>
          <c:tx>
            <c:strRef>
              <c:f>sales_per_category_!$B$1</c:f>
              <c:strCache>
                <c:ptCount val="1"/>
                <c:pt idx="0">
                  <c:v>total_price</c:v>
                </c:pt>
              </c:strCache>
            </c:strRef>
          </c:tx>
          <c:spPr>
            <a:solidFill>
              <a:schemeClr val="accent1"/>
            </a:solidFill>
            <a:ln>
              <a:noFill/>
            </a:ln>
            <a:effectLst/>
            <a:sp3d/>
          </c:spPr>
          <c:invertIfNegative val="0"/>
          <c:cat>
            <c:strRef>
              <c:f>sales_per_category_!$A$2:$A$75</c:f>
              <c:strCache>
                <c:ptCount val="73"/>
                <c:pt idx="0">
                  <c:v>health_beauty</c:v>
                </c:pt>
                <c:pt idx="1">
                  <c:v>watches_gifts</c:v>
                </c:pt>
                <c:pt idx="2">
                  <c:v>bed_bath_table</c:v>
                </c:pt>
                <c:pt idx="3">
                  <c:v>sports_leisure</c:v>
                </c:pt>
                <c:pt idx="4">
                  <c:v>computers_accessories</c:v>
                </c:pt>
                <c:pt idx="5">
                  <c:v>furniture_decor</c:v>
                </c:pt>
                <c:pt idx="6">
                  <c:v>housewares</c:v>
                </c:pt>
                <c:pt idx="7">
                  <c:v>cool_stuff</c:v>
                </c:pt>
                <c:pt idx="8">
                  <c:v>auto</c:v>
                </c:pt>
                <c:pt idx="9">
                  <c:v>garden_tools</c:v>
                </c:pt>
                <c:pt idx="10">
                  <c:v>toys</c:v>
                </c:pt>
                <c:pt idx="11">
                  <c:v>baby</c:v>
                </c:pt>
                <c:pt idx="12">
                  <c:v>perfumery</c:v>
                </c:pt>
                <c:pt idx="13">
                  <c:v>telephony</c:v>
                </c:pt>
                <c:pt idx="14">
                  <c:v>office_furniture</c:v>
                </c:pt>
                <c:pt idx="15">
                  <c:v>stationery</c:v>
                </c:pt>
                <c:pt idx="16">
                  <c:v>computers</c:v>
                </c:pt>
                <c:pt idx="17">
                  <c:v>pet_shop</c:v>
                </c:pt>
                <c:pt idx="18">
                  <c:v>small_appliances</c:v>
                </c:pt>
                <c:pt idx="19">
                  <c:v>musical_instruments</c:v>
                </c:pt>
                <c:pt idx="20">
                  <c:v>uncategorized</c:v>
                </c:pt>
                <c:pt idx="21">
                  <c:v>electronics</c:v>
                </c:pt>
                <c:pt idx="22">
                  <c:v>consoles_games</c:v>
                </c:pt>
                <c:pt idx="23">
                  <c:v>fashion_bags_accessories</c:v>
                </c:pt>
                <c:pt idx="24">
                  <c:v>construction_tools_construction</c:v>
                </c:pt>
                <c:pt idx="25">
                  <c:v>luggage_accessories</c:v>
                </c:pt>
                <c:pt idx="26">
                  <c:v>home_appliances_2</c:v>
                </c:pt>
                <c:pt idx="27">
                  <c:v>home_construction</c:v>
                </c:pt>
                <c:pt idx="28">
                  <c:v>home_appliances</c:v>
                </c:pt>
                <c:pt idx="29">
                  <c:v>agro_industry_and_commerce</c:v>
                </c:pt>
                <c:pt idx="30">
                  <c:v>furniture_living_room</c:v>
                </c:pt>
                <c:pt idx="31">
                  <c:v>home_confort</c:v>
                </c:pt>
                <c:pt idx="32">
                  <c:v>fixed_telephony</c:v>
                </c:pt>
                <c:pt idx="33">
                  <c:v>air_conditioning</c:v>
                </c:pt>
                <c:pt idx="34">
                  <c:v>audio</c:v>
                </c:pt>
                <c:pt idx="35">
                  <c:v>small_appliances_home_oven_and_coffee</c:v>
                </c:pt>
                <c:pt idx="36">
                  <c:v>kitchen_dining_laundry_garden_furniture</c:v>
                </c:pt>
                <c:pt idx="37">
                  <c:v>books_general_interest</c:v>
                </c:pt>
                <c:pt idx="38">
                  <c:v>construction_tools_lights</c:v>
                </c:pt>
                <c:pt idx="39">
                  <c:v>industry_commerce_and_business</c:v>
                </c:pt>
                <c:pt idx="40">
                  <c:v>construction_tools_safety</c:v>
                </c:pt>
                <c:pt idx="41">
                  <c:v>food</c:v>
                </c:pt>
                <c:pt idx="42">
                  <c:v>market_place</c:v>
                </c:pt>
                <c:pt idx="43">
                  <c:v>costruction_tools_garden</c:v>
                </c:pt>
                <c:pt idx="44">
                  <c:v>art</c:v>
                </c:pt>
                <c:pt idx="45">
                  <c:v>fashion_shoes</c:v>
                </c:pt>
                <c:pt idx="46">
                  <c:v>drinks</c:v>
                </c:pt>
                <c:pt idx="47">
                  <c:v>signaling_and_security</c:v>
                </c:pt>
                <c:pt idx="48">
                  <c:v>furniture_bedroom</c:v>
                </c:pt>
                <c:pt idx="49">
                  <c:v>books_technical</c:v>
                </c:pt>
                <c:pt idx="50">
                  <c:v>costruction_tools_tools</c:v>
                </c:pt>
                <c:pt idx="51">
                  <c:v>food_drink</c:v>
                </c:pt>
                <c:pt idx="52">
                  <c:v>fashion_male_clothing</c:v>
                </c:pt>
                <c:pt idx="53">
                  <c:v>fashion_underwear_beach</c:v>
                </c:pt>
                <c:pt idx="54">
                  <c:v>christmas_supplies</c:v>
                </c:pt>
                <c:pt idx="55">
                  <c:v>tablets_printing_image</c:v>
                </c:pt>
                <c:pt idx="56">
                  <c:v>cine_photo</c:v>
                </c:pt>
                <c:pt idx="57">
                  <c:v>music</c:v>
                </c:pt>
                <c:pt idx="58">
                  <c:v>books_imported</c:v>
                </c:pt>
                <c:pt idx="59">
                  <c:v>dvds_blu_ray</c:v>
                </c:pt>
                <c:pt idx="60">
                  <c:v>party_supplies</c:v>
                </c:pt>
                <c:pt idx="61">
                  <c:v>furniture_mattress_and_upholstery</c:v>
                </c:pt>
                <c:pt idx="62">
                  <c:v>fashio_female_clothing</c:v>
                </c:pt>
                <c:pt idx="63">
                  <c:v>fashion_sport</c:v>
                </c:pt>
                <c:pt idx="64">
                  <c:v>la_cuisine</c:v>
                </c:pt>
                <c:pt idx="65">
                  <c:v>arts_and_craftmanship</c:v>
                </c:pt>
                <c:pt idx="66">
                  <c:v>diapers_and_hygiene</c:v>
                </c:pt>
                <c:pt idx="67">
                  <c:v>flowers</c:v>
                </c:pt>
                <c:pt idx="68">
                  <c:v>home_comfort_2</c:v>
                </c:pt>
                <c:pt idx="69">
                  <c:v>cds_dvds_musicals</c:v>
                </c:pt>
                <c:pt idx="70">
                  <c:v>fashion_childrens_clothes</c:v>
                </c:pt>
                <c:pt idx="71">
                  <c:v>security_and_services</c:v>
                </c:pt>
                <c:pt idx="72">
                  <c:v>other</c:v>
                </c:pt>
              </c:strCache>
            </c:strRef>
          </c:cat>
          <c:val>
            <c:numRef>
              <c:f>sales_per_category_!$B$2:$B$75</c:f>
              <c:numCache>
                <c:formatCode>General</c:formatCode>
                <c:ptCount val="73"/>
                <c:pt idx="0">
                  <c:v>1255695.1299999999</c:v>
                </c:pt>
                <c:pt idx="1">
                  <c:v>1198185.21</c:v>
                </c:pt>
                <c:pt idx="2">
                  <c:v>1035964.06</c:v>
                </c:pt>
                <c:pt idx="3">
                  <c:v>979740.92</c:v>
                </c:pt>
                <c:pt idx="4">
                  <c:v>904322.02</c:v>
                </c:pt>
                <c:pt idx="5">
                  <c:v>727465.05</c:v>
                </c:pt>
                <c:pt idx="6">
                  <c:v>626825.80000000005</c:v>
                </c:pt>
                <c:pt idx="7">
                  <c:v>620770.49</c:v>
                </c:pt>
                <c:pt idx="8">
                  <c:v>586585.73</c:v>
                </c:pt>
                <c:pt idx="9">
                  <c:v>481009.94</c:v>
                </c:pt>
                <c:pt idx="10">
                  <c:v>479808.54</c:v>
                </c:pt>
                <c:pt idx="11">
                  <c:v>410312.2</c:v>
                </c:pt>
                <c:pt idx="12">
                  <c:v>396599.31</c:v>
                </c:pt>
                <c:pt idx="13">
                  <c:v>322342.64</c:v>
                </c:pt>
                <c:pt idx="14">
                  <c:v>273580.7</c:v>
                </c:pt>
                <c:pt idx="15">
                  <c:v>229593.84</c:v>
                </c:pt>
                <c:pt idx="16">
                  <c:v>222963.13</c:v>
                </c:pt>
                <c:pt idx="17">
                  <c:v>213766.63</c:v>
                </c:pt>
                <c:pt idx="18">
                  <c:v>187907.26</c:v>
                </c:pt>
                <c:pt idx="19">
                  <c:v>187788.44</c:v>
                </c:pt>
                <c:pt idx="20">
                  <c:v>183813.13</c:v>
                </c:pt>
                <c:pt idx="21">
                  <c:v>157079.54</c:v>
                </c:pt>
                <c:pt idx="22">
                  <c:v>154927.26999999999</c:v>
                </c:pt>
                <c:pt idx="23">
                  <c:v>151622.75</c:v>
                </c:pt>
                <c:pt idx="24">
                  <c:v>144550.19</c:v>
                </c:pt>
                <c:pt idx="25">
                  <c:v>140111.38</c:v>
                </c:pt>
                <c:pt idx="26">
                  <c:v>110649.74</c:v>
                </c:pt>
                <c:pt idx="27">
                  <c:v>83010.12</c:v>
                </c:pt>
                <c:pt idx="28">
                  <c:v>80001.240000000005</c:v>
                </c:pt>
                <c:pt idx="29">
                  <c:v>72530.47</c:v>
                </c:pt>
                <c:pt idx="30">
                  <c:v>68638.559999999998</c:v>
                </c:pt>
                <c:pt idx="31">
                  <c:v>58572.04</c:v>
                </c:pt>
                <c:pt idx="32">
                  <c:v>57824.21</c:v>
                </c:pt>
                <c:pt idx="33">
                  <c:v>54723.16</c:v>
                </c:pt>
                <c:pt idx="34">
                  <c:v>50668.6</c:v>
                </c:pt>
                <c:pt idx="35">
                  <c:v>47445.71</c:v>
                </c:pt>
                <c:pt idx="36">
                  <c:v>46070.37</c:v>
                </c:pt>
                <c:pt idx="37">
                  <c:v>45622.29</c:v>
                </c:pt>
                <c:pt idx="38">
                  <c:v>40002</c:v>
                </c:pt>
                <c:pt idx="39">
                  <c:v>39669.61</c:v>
                </c:pt>
                <c:pt idx="40">
                  <c:v>39589.019999999997</c:v>
                </c:pt>
                <c:pt idx="41">
                  <c:v>29243.51</c:v>
                </c:pt>
                <c:pt idx="42">
                  <c:v>28288.47</c:v>
                </c:pt>
                <c:pt idx="43">
                  <c:v>25552.18</c:v>
                </c:pt>
                <c:pt idx="44">
                  <c:v>24167.64</c:v>
                </c:pt>
                <c:pt idx="45">
                  <c:v>23352.880000000001</c:v>
                </c:pt>
                <c:pt idx="46">
                  <c:v>22378.71</c:v>
                </c:pt>
                <c:pt idx="47">
                  <c:v>21509.23</c:v>
                </c:pt>
                <c:pt idx="48">
                  <c:v>20028.78</c:v>
                </c:pt>
                <c:pt idx="49">
                  <c:v>19096.060000000001</c:v>
                </c:pt>
                <c:pt idx="50">
                  <c:v>15903.95</c:v>
                </c:pt>
                <c:pt idx="51">
                  <c:v>15119.48</c:v>
                </c:pt>
                <c:pt idx="52">
                  <c:v>10748.82</c:v>
                </c:pt>
                <c:pt idx="53">
                  <c:v>9541.5499999999993</c:v>
                </c:pt>
                <c:pt idx="54">
                  <c:v>8787.83</c:v>
                </c:pt>
                <c:pt idx="55">
                  <c:v>7528.41</c:v>
                </c:pt>
                <c:pt idx="56">
                  <c:v>6933.46</c:v>
                </c:pt>
                <c:pt idx="57">
                  <c:v>6034.35</c:v>
                </c:pt>
                <c:pt idx="58">
                  <c:v>4639.8500000000004</c:v>
                </c:pt>
                <c:pt idx="59">
                  <c:v>4559.49</c:v>
                </c:pt>
                <c:pt idx="60">
                  <c:v>4485.18</c:v>
                </c:pt>
                <c:pt idx="61">
                  <c:v>4368.08</c:v>
                </c:pt>
                <c:pt idx="62">
                  <c:v>2803.64</c:v>
                </c:pt>
                <c:pt idx="63">
                  <c:v>2119.5100000000002</c:v>
                </c:pt>
                <c:pt idx="64">
                  <c:v>2054.9899999999998</c:v>
                </c:pt>
                <c:pt idx="65">
                  <c:v>1814.01</c:v>
                </c:pt>
                <c:pt idx="66">
                  <c:v>1538.79</c:v>
                </c:pt>
                <c:pt idx="67">
                  <c:v>1110.04</c:v>
                </c:pt>
                <c:pt idx="68">
                  <c:v>760.27</c:v>
                </c:pt>
                <c:pt idx="69">
                  <c:v>730</c:v>
                </c:pt>
                <c:pt idx="70">
                  <c:v>569.85</c:v>
                </c:pt>
                <c:pt idx="71">
                  <c:v>283.29000000000002</c:v>
                </c:pt>
                <c:pt idx="72">
                  <c:v>3195193.0000000014</c:v>
                </c:pt>
              </c:numCache>
            </c:numRef>
          </c:val>
          <c:extLst>
            <c:ext xmlns:c16="http://schemas.microsoft.com/office/drawing/2014/chart" uri="{C3380CC4-5D6E-409C-BE32-E72D297353CC}">
              <c16:uniqueId val="{00000000-A2E2-4AED-997E-B9E03F12B875}"/>
            </c:ext>
          </c:extLst>
        </c:ser>
        <c:dLbls>
          <c:showLegendKey val="0"/>
          <c:showVal val="0"/>
          <c:showCatName val="0"/>
          <c:showSerName val="0"/>
          <c:showPercent val="0"/>
          <c:showBubbleSize val="0"/>
        </c:dLbls>
        <c:gapWidth val="150"/>
        <c:shape val="box"/>
        <c:axId val="1814539279"/>
        <c:axId val="1814543119"/>
        <c:axId val="0"/>
      </c:bar3DChart>
      <c:catAx>
        <c:axId val="181453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543119"/>
        <c:crosses val="autoZero"/>
        <c:auto val="1"/>
        <c:lblAlgn val="ctr"/>
        <c:lblOffset val="100"/>
        <c:noMultiLvlLbl val="0"/>
      </c:catAx>
      <c:valAx>
        <c:axId val="181454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53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99000"/>
      </a:schemeClr>
    </a:solidFill>
    <a:ln w="9525" cap="flat" cmpd="tri"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sales analysis.xlsx]sales_per_category_!PivotTable15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sales_per_category_!$G$8</c:f>
              <c:strCache>
                <c:ptCount val="1"/>
                <c:pt idx="0">
                  <c:v>Total</c:v>
                </c:pt>
              </c:strCache>
            </c:strRef>
          </c:tx>
          <c:spPr>
            <a:solidFill>
              <a:schemeClr val="accent1"/>
            </a:solidFill>
            <a:ln>
              <a:noFill/>
            </a:ln>
            <a:effectLst/>
          </c:spPr>
          <c:invertIfNegative val="0"/>
          <c:cat>
            <c:strRef>
              <c:f>sales_per_category_!$F$9:$F$25</c:f>
              <c:strCache>
                <c:ptCount val="16"/>
                <c:pt idx="0">
                  <c:v>other</c:v>
                </c:pt>
                <c:pt idx="1">
                  <c:v>health_beauty</c:v>
                </c:pt>
                <c:pt idx="2">
                  <c:v>watches_gifts</c:v>
                </c:pt>
                <c:pt idx="3">
                  <c:v>bed_bath_table</c:v>
                </c:pt>
                <c:pt idx="4">
                  <c:v>sports_leisure</c:v>
                </c:pt>
                <c:pt idx="5">
                  <c:v>computers_accessories</c:v>
                </c:pt>
                <c:pt idx="6">
                  <c:v>furniture_decor</c:v>
                </c:pt>
                <c:pt idx="7">
                  <c:v>housewares</c:v>
                </c:pt>
                <c:pt idx="8">
                  <c:v>cool_stuff</c:v>
                </c:pt>
                <c:pt idx="9">
                  <c:v>auto</c:v>
                </c:pt>
                <c:pt idx="10">
                  <c:v>garden_tools</c:v>
                </c:pt>
                <c:pt idx="11">
                  <c:v>toys</c:v>
                </c:pt>
                <c:pt idx="12">
                  <c:v>baby</c:v>
                </c:pt>
                <c:pt idx="13">
                  <c:v>perfumery</c:v>
                </c:pt>
                <c:pt idx="14">
                  <c:v>telephony</c:v>
                </c:pt>
                <c:pt idx="15">
                  <c:v>office_furniture</c:v>
                </c:pt>
              </c:strCache>
            </c:strRef>
          </c:cat>
          <c:val>
            <c:numRef>
              <c:f>sales_per_category_!$G$9:$G$25</c:f>
              <c:numCache>
                <c:formatCode>General</c:formatCode>
                <c:ptCount val="16"/>
                <c:pt idx="0">
                  <c:v>3195193.0000000014</c:v>
                </c:pt>
                <c:pt idx="1">
                  <c:v>1255695.1299999999</c:v>
                </c:pt>
                <c:pt idx="2">
                  <c:v>1198185.21</c:v>
                </c:pt>
                <c:pt idx="3">
                  <c:v>1035964.06</c:v>
                </c:pt>
                <c:pt idx="4">
                  <c:v>979740.92</c:v>
                </c:pt>
                <c:pt idx="5">
                  <c:v>904322.02</c:v>
                </c:pt>
                <c:pt idx="6">
                  <c:v>727465.05</c:v>
                </c:pt>
                <c:pt idx="7">
                  <c:v>626825.80000000005</c:v>
                </c:pt>
                <c:pt idx="8">
                  <c:v>620770.49</c:v>
                </c:pt>
                <c:pt idx="9">
                  <c:v>586585.73</c:v>
                </c:pt>
                <c:pt idx="10">
                  <c:v>481009.94</c:v>
                </c:pt>
                <c:pt idx="11">
                  <c:v>479808.54</c:v>
                </c:pt>
                <c:pt idx="12">
                  <c:v>410312.2</c:v>
                </c:pt>
                <c:pt idx="13">
                  <c:v>396599.31</c:v>
                </c:pt>
                <c:pt idx="14">
                  <c:v>322342.64</c:v>
                </c:pt>
                <c:pt idx="15">
                  <c:v>273580.7</c:v>
                </c:pt>
              </c:numCache>
            </c:numRef>
          </c:val>
          <c:extLst>
            <c:ext xmlns:c16="http://schemas.microsoft.com/office/drawing/2014/chart" uri="{C3380CC4-5D6E-409C-BE32-E72D297353CC}">
              <c16:uniqueId val="{00000000-6B45-42CC-B794-2ABD6077392B}"/>
            </c:ext>
          </c:extLst>
        </c:ser>
        <c:dLbls>
          <c:showLegendKey val="0"/>
          <c:showVal val="0"/>
          <c:showCatName val="0"/>
          <c:showSerName val="0"/>
          <c:showPercent val="0"/>
          <c:showBubbleSize val="0"/>
        </c:dLbls>
        <c:gapWidth val="182"/>
        <c:axId val="1735773535"/>
        <c:axId val="1735774015"/>
      </c:barChart>
      <c:catAx>
        <c:axId val="17357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4015"/>
        <c:crosses val="autoZero"/>
        <c:auto val="1"/>
        <c:lblAlgn val="ctr"/>
        <c:lblOffset val="100"/>
        <c:noMultiLvlLbl val="0"/>
      </c:catAx>
      <c:valAx>
        <c:axId val="173577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sales analysis.xlsx]sales_per_customer_region_!PivotTable20</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sales_per_customer_region_!$F$1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ED-41F8-9863-620D238E15F4}"/>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ED-41F8-9863-620D238E15F4}"/>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ED-41F8-9863-620D238E15F4}"/>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3ED-41F8-9863-620D238E15F4}"/>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3ED-41F8-9863-620D238E15F4}"/>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3ED-41F8-9863-620D238E15F4}"/>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3ED-41F8-9863-620D238E15F4}"/>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3ED-41F8-9863-620D238E15F4}"/>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3ED-41F8-9863-620D238E15F4}"/>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3ED-41F8-9863-620D238E15F4}"/>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3ED-41F8-9863-620D238E15F4}"/>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3ED-41F8-9863-620D238E15F4}"/>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3ED-41F8-9863-620D238E15F4}"/>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3ED-41F8-9863-620D238E15F4}"/>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3ED-41F8-9863-620D238E15F4}"/>
              </c:ext>
            </c:extLst>
          </c:dPt>
          <c:dPt>
            <c:idx val="1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3ED-41F8-9863-620D238E15F4}"/>
              </c:ext>
            </c:extLst>
          </c:dPt>
          <c:dPt>
            <c:idx val="1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3ED-41F8-9863-620D238E15F4}"/>
              </c:ext>
            </c:extLst>
          </c:dPt>
          <c:dPt>
            <c:idx val="1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3ED-41F8-9863-620D238E15F4}"/>
              </c:ext>
            </c:extLst>
          </c:dPt>
          <c:dPt>
            <c:idx val="1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3ED-41F8-9863-620D238E15F4}"/>
              </c:ext>
            </c:extLst>
          </c:dPt>
          <c:dPt>
            <c:idx val="1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3ED-41F8-9863-620D238E15F4}"/>
              </c:ext>
            </c:extLst>
          </c:dPt>
          <c:dPt>
            <c:idx val="2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3ED-41F8-9863-620D238E15F4}"/>
              </c:ext>
            </c:extLst>
          </c:dPt>
          <c:dPt>
            <c:idx val="2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3ED-41F8-9863-620D238E15F4}"/>
              </c:ext>
            </c:extLst>
          </c:dPt>
          <c:dPt>
            <c:idx val="2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43ED-41F8-9863-620D238E15F4}"/>
              </c:ext>
            </c:extLst>
          </c:dPt>
          <c:dPt>
            <c:idx val="2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43ED-41F8-9863-620D238E15F4}"/>
              </c:ext>
            </c:extLst>
          </c:dPt>
          <c:dPt>
            <c:idx val="2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43ED-41F8-9863-620D238E15F4}"/>
              </c:ext>
            </c:extLst>
          </c:dPt>
          <c:dPt>
            <c:idx val="2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43ED-41F8-9863-620D238E15F4}"/>
              </c:ext>
            </c:extLst>
          </c:dPt>
          <c:dPt>
            <c:idx val="2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43ED-41F8-9863-620D238E15F4}"/>
              </c:ext>
            </c:extLst>
          </c:dPt>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trendline>
            <c:spPr>
              <a:ln w="19050" cap="rnd">
                <a:solidFill>
                  <a:schemeClr val="accent1"/>
                </a:solidFill>
              </a:ln>
              <a:effectLst/>
            </c:spPr>
            <c:trendlineType val="exp"/>
            <c:dispRSqr val="0"/>
            <c:dispEq val="0"/>
          </c:trendline>
          <c:cat>
            <c:strRef>
              <c:f>sales_per_customer_region_!$E$2:$E$29</c:f>
              <c:strCache>
                <c:ptCount val="27"/>
                <c:pt idx="0">
                  <c:v>SP</c:v>
                </c:pt>
                <c:pt idx="1">
                  <c:v>RJ</c:v>
                </c:pt>
                <c:pt idx="2">
                  <c:v>MG</c:v>
                </c:pt>
                <c:pt idx="3">
                  <c:v>RS</c:v>
                </c:pt>
                <c:pt idx="4">
                  <c:v>PR</c:v>
                </c:pt>
                <c:pt idx="5">
                  <c:v>SC</c:v>
                </c:pt>
                <c:pt idx="6">
                  <c:v>BA</c:v>
                </c:pt>
                <c:pt idx="7">
                  <c:v>DF</c:v>
                </c:pt>
                <c:pt idx="8">
                  <c:v>GO</c:v>
                </c:pt>
                <c:pt idx="9">
                  <c:v>ES</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sales_per_customer_region_!$F$2:$F$29</c:f>
              <c:numCache>
                <c:formatCode>General</c:formatCode>
                <c:ptCount val="27"/>
                <c:pt idx="0">
                  <c:v>5163867.22</c:v>
                </c:pt>
                <c:pt idx="1">
                  <c:v>1811623.42</c:v>
                </c:pt>
                <c:pt idx="2">
                  <c:v>1573508.2</c:v>
                </c:pt>
                <c:pt idx="3">
                  <c:v>742559.78</c:v>
                </c:pt>
                <c:pt idx="4">
                  <c:v>676883.06</c:v>
                </c:pt>
                <c:pt idx="5">
                  <c:v>518578.28</c:v>
                </c:pt>
                <c:pt idx="6">
                  <c:v>507108.83</c:v>
                </c:pt>
                <c:pt idx="7">
                  <c:v>300886.45</c:v>
                </c:pt>
                <c:pt idx="8">
                  <c:v>287870.46000000002</c:v>
                </c:pt>
                <c:pt idx="9">
                  <c:v>273532.13</c:v>
                </c:pt>
                <c:pt idx="10">
                  <c:v>261739.94</c:v>
                </c:pt>
                <c:pt idx="11">
                  <c:v>226264.06</c:v>
                </c:pt>
                <c:pt idx="12">
                  <c:v>178821.12</c:v>
                </c:pt>
                <c:pt idx="13">
                  <c:v>156313.53</c:v>
                </c:pt>
                <c:pt idx="14">
                  <c:v>119291.62</c:v>
                </c:pt>
                <c:pt idx="15">
                  <c:v>116754.65</c:v>
                </c:pt>
                <c:pt idx="16">
                  <c:v>114874.1</c:v>
                </c:pt>
                <c:pt idx="17">
                  <c:v>86660.09</c:v>
                </c:pt>
                <c:pt idx="18">
                  <c:v>83034.98</c:v>
                </c:pt>
                <c:pt idx="19">
                  <c:v>80314.81</c:v>
                </c:pt>
                <c:pt idx="20">
                  <c:v>58920.85</c:v>
                </c:pt>
                <c:pt idx="21">
                  <c:v>49407.99</c:v>
                </c:pt>
                <c:pt idx="22">
                  <c:v>46031.64</c:v>
                </c:pt>
                <c:pt idx="23">
                  <c:v>22356.84</c:v>
                </c:pt>
                <c:pt idx="24">
                  <c:v>15982.95</c:v>
                </c:pt>
                <c:pt idx="25">
                  <c:v>13474.3</c:v>
                </c:pt>
                <c:pt idx="26">
                  <c:v>7739.44</c:v>
                </c:pt>
              </c:numCache>
            </c:numRef>
          </c:val>
          <c:extLst>
            <c:ext xmlns:c16="http://schemas.microsoft.com/office/drawing/2014/chart" uri="{C3380CC4-5D6E-409C-BE32-E72D297353CC}">
              <c16:uniqueId val="{00000036-43ED-41F8-9863-620D238E15F4}"/>
            </c:ext>
          </c:extLst>
        </c:ser>
        <c:dLbls>
          <c:showLegendKey val="0"/>
          <c:showVal val="0"/>
          <c:showCatName val="0"/>
          <c:showSerName val="0"/>
          <c:showPercent val="0"/>
          <c:showBubbleSize val="0"/>
        </c:dLbls>
        <c:gapWidth val="100"/>
        <c:axId val="1333738335"/>
        <c:axId val="1333739775"/>
      </c:barChart>
      <c:catAx>
        <c:axId val="13337383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739775"/>
        <c:crosses val="autoZero"/>
        <c:auto val="1"/>
        <c:lblAlgn val="ctr"/>
        <c:lblOffset val="100"/>
        <c:noMultiLvlLbl val="0"/>
      </c:catAx>
      <c:valAx>
        <c:axId val="1333739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73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sales analysis.xlsx]sales_per_seller_region_!PivotTable21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sales_per_seller_region_!$F$1</c:f>
              <c:strCache>
                <c:ptCount val="1"/>
                <c:pt idx="0">
                  <c:v>Total</c:v>
                </c:pt>
              </c:strCache>
            </c:strRef>
          </c:tx>
          <c:spPr>
            <a:solidFill>
              <a:schemeClr val="accent1"/>
            </a:solidFill>
            <a:ln>
              <a:noFill/>
            </a:ln>
            <a:effectLst/>
            <a:sp3d/>
          </c:spPr>
          <c:invertIfNegative val="0"/>
          <c:cat>
            <c:strRef>
              <c:f>sales_per_seller_region_!$E$2:$E$25</c:f>
              <c:strCache>
                <c:ptCount val="23"/>
                <c:pt idx="0">
                  <c:v>SP</c:v>
                </c:pt>
                <c:pt idx="1">
                  <c:v>PR</c:v>
                </c:pt>
                <c:pt idx="2">
                  <c:v>MG</c:v>
                </c:pt>
                <c:pt idx="3">
                  <c:v>RJ</c:v>
                </c:pt>
                <c:pt idx="4">
                  <c:v>SC</c:v>
                </c:pt>
                <c:pt idx="5">
                  <c:v>RS</c:v>
                </c:pt>
                <c:pt idx="6">
                  <c:v>BA</c:v>
                </c:pt>
                <c:pt idx="7">
                  <c:v>DF</c:v>
                </c:pt>
                <c:pt idx="8">
                  <c:v>PE</c:v>
                </c:pt>
                <c:pt idx="9">
                  <c:v>GO</c:v>
                </c:pt>
                <c:pt idx="10">
                  <c:v>ES</c:v>
                </c:pt>
                <c:pt idx="11">
                  <c:v>MA</c:v>
                </c:pt>
                <c:pt idx="12">
                  <c:v>CE</c:v>
                </c:pt>
                <c:pt idx="13">
                  <c:v>PB</c:v>
                </c:pt>
                <c:pt idx="14">
                  <c:v>MT</c:v>
                </c:pt>
                <c:pt idx="15">
                  <c:v>RN</c:v>
                </c:pt>
                <c:pt idx="16">
                  <c:v>MS</c:v>
                </c:pt>
                <c:pt idx="17">
                  <c:v>RO</c:v>
                </c:pt>
                <c:pt idx="18">
                  <c:v>PI</c:v>
                </c:pt>
                <c:pt idx="19">
                  <c:v>SE</c:v>
                </c:pt>
                <c:pt idx="20">
                  <c:v>PA</c:v>
                </c:pt>
                <c:pt idx="21">
                  <c:v>AM</c:v>
                </c:pt>
                <c:pt idx="22">
                  <c:v>AC</c:v>
                </c:pt>
              </c:strCache>
            </c:strRef>
          </c:cat>
          <c:val>
            <c:numRef>
              <c:f>sales_per_seller_region_!$F$2:$F$25</c:f>
              <c:numCache>
                <c:formatCode>General</c:formatCode>
                <c:ptCount val="23"/>
                <c:pt idx="0">
                  <c:v>8687740.3499999996</c:v>
                </c:pt>
                <c:pt idx="1">
                  <c:v>1256874.01</c:v>
                </c:pt>
                <c:pt idx="2">
                  <c:v>1001944.76</c:v>
                </c:pt>
                <c:pt idx="3">
                  <c:v>837466.37</c:v>
                </c:pt>
                <c:pt idx="4">
                  <c:v>624002.96</c:v>
                </c:pt>
                <c:pt idx="5">
                  <c:v>377726.85</c:v>
                </c:pt>
                <c:pt idx="6">
                  <c:v>285332.57</c:v>
                </c:pt>
                <c:pt idx="7">
                  <c:v>97100.479999999996</c:v>
                </c:pt>
                <c:pt idx="8">
                  <c:v>91463.95</c:v>
                </c:pt>
                <c:pt idx="9">
                  <c:v>66251.72</c:v>
                </c:pt>
                <c:pt idx="10">
                  <c:v>47629.62</c:v>
                </c:pt>
                <c:pt idx="11">
                  <c:v>36408.949999999997</c:v>
                </c:pt>
                <c:pt idx="12">
                  <c:v>20175.740000000002</c:v>
                </c:pt>
                <c:pt idx="13">
                  <c:v>17095</c:v>
                </c:pt>
                <c:pt idx="14">
                  <c:v>17070.72</c:v>
                </c:pt>
                <c:pt idx="15">
                  <c:v>9992.6</c:v>
                </c:pt>
                <c:pt idx="16">
                  <c:v>8551.69</c:v>
                </c:pt>
                <c:pt idx="17">
                  <c:v>4762.2</c:v>
                </c:pt>
                <c:pt idx="18">
                  <c:v>2522</c:v>
                </c:pt>
                <c:pt idx="19">
                  <c:v>1606.2</c:v>
                </c:pt>
                <c:pt idx="20">
                  <c:v>1238</c:v>
                </c:pt>
                <c:pt idx="21">
                  <c:v>1177</c:v>
                </c:pt>
                <c:pt idx="22">
                  <c:v>267</c:v>
                </c:pt>
              </c:numCache>
            </c:numRef>
          </c:val>
          <c:extLst>
            <c:ext xmlns:c16="http://schemas.microsoft.com/office/drawing/2014/chart" uri="{C3380CC4-5D6E-409C-BE32-E72D297353CC}">
              <c16:uniqueId val="{00000000-1B49-4ED9-8353-B0D17213021A}"/>
            </c:ext>
          </c:extLst>
        </c:ser>
        <c:dLbls>
          <c:showLegendKey val="0"/>
          <c:showVal val="0"/>
          <c:showCatName val="0"/>
          <c:showSerName val="0"/>
          <c:showPercent val="0"/>
          <c:showBubbleSize val="0"/>
        </c:dLbls>
        <c:gapWidth val="150"/>
        <c:shape val="box"/>
        <c:axId val="1937577519"/>
        <c:axId val="1937583279"/>
        <c:axId val="0"/>
      </c:bar3DChart>
      <c:catAx>
        <c:axId val="193757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83279"/>
        <c:crosses val="autoZero"/>
        <c:auto val="1"/>
        <c:lblAlgn val="ctr"/>
        <c:lblOffset val="100"/>
        <c:noMultiLvlLbl val="0"/>
      </c:catAx>
      <c:valAx>
        <c:axId val="19375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 sales analysis.xlsx]Dashboard!PivotTable1</c:name>
    <c:fmtId val="3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Dashboard!$B$3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70-4CFA-8333-5DC71E2355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70-4CFA-8333-5DC71E2355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70-4CFA-8333-5DC71E2355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70-4CFA-8333-5DC71E2355C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970-4CFA-8333-5DC71E2355C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970-4CFA-8333-5DC71E2355C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970-4CFA-8333-5DC71E2355C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970-4CFA-8333-5DC71E2355C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970-4CFA-8333-5DC71E2355C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970-4CFA-8333-5DC71E2355C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970-4CFA-8333-5DC71E2355C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970-4CFA-8333-5DC71E2355C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970-4CFA-8333-5DC71E2355C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970-4CFA-8333-5DC71E2355C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970-4CFA-8333-5DC71E2355CD}"/>
              </c:ext>
            </c:extLst>
          </c:dPt>
          <c:cat>
            <c:strRef>
              <c:f>Dashboard!$A$4:$A$19</c:f>
              <c:strCache>
                <c:ptCount val="15"/>
                <c:pt idx="0">
                  <c:v>health_beauty</c:v>
                </c:pt>
                <c:pt idx="1">
                  <c:v>watches_gifts</c:v>
                </c:pt>
                <c:pt idx="2">
                  <c:v>bed_bath_table</c:v>
                </c:pt>
                <c:pt idx="3">
                  <c:v>sports_leisure</c:v>
                </c:pt>
                <c:pt idx="4">
                  <c:v>computers_accessories</c:v>
                </c:pt>
                <c:pt idx="5">
                  <c:v>furniture_decor</c:v>
                </c:pt>
                <c:pt idx="6">
                  <c:v>housewares</c:v>
                </c:pt>
                <c:pt idx="7">
                  <c:v>cool_stuff</c:v>
                </c:pt>
                <c:pt idx="8">
                  <c:v>auto</c:v>
                </c:pt>
                <c:pt idx="9">
                  <c:v>garden_tools</c:v>
                </c:pt>
                <c:pt idx="10">
                  <c:v>toys</c:v>
                </c:pt>
                <c:pt idx="11">
                  <c:v>baby</c:v>
                </c:pt>
                <c:pt idx="12">
                  <c:v>perfumery</c:v>
                </c:pt>
                <c:pt idx="13">
                  <c:v>telephony</c:v>
                </c:pt>
                <c:pt idx="14">
                  <c:v>office_furniture</c:v>
                </c:pt>
              </c:strCache>
            </c:strRef>
          </c:cat>
          <c:val>
            <c:numRef>
              <c:f>Dashboard!$B$4:$B$19</c:f>
              <c:numCache>
                <c:formatCode>#,##0</c:formatCode>
                <c:ptCount val="15"/>
                <c:pt idx="0">
                  <c:v>1255695.1300000004</c:v>
                </c:pt>
                <c:pt idx="1">
                  <c:v>1198185.2099999997</c:v>
                </c:pt>
                <c:pt idx="2">
                  <c:v>1035964.0599999998</c:v>
                </c:pt>
                <c:pt idx="3">
                  <c:v>979740.91999999993</c:v>
                </c:pt>
                <c:pt idx="4">
                  <c:v>904322.02</c:v>
                </c:pt>
                <c:pt idx="5">
                  <c:v>727465.04999999993</c:v>
                </c:pt>
                <c:pt idx="6">
                  <c:v>626825.79999999993</c:v>
                </c:pt>
                <c:pt idx="7">
                  <c:v>620770.49000000011</c:v>
                </c:pt>
                <c:pt idx="8">
                  <c:v>586585.73000000021</c:v>
                </c:pt>
                <c:pt idx="9">
                  <c:v>481009.94000000006</c:v>
                </c:pt>
                <c:pt idx="10">
                  <c:v>479808.54000000004</c:v>
                </c:pt>
                <c:pt idx="11">
                  <c:v>410312.20000000013</c:v>
                </c:pt>
                <c:pt idx="12">
                  <c:v>396599.31</c:v>
                </c:pt>
                <c:pt idx="13">
                  <c:v>322342.64000000007</c:v>
                </c:pt>
                <c:pt idx="14">
                  <c:v>273580.69999999995</c:v>
                </c:pt>
              </c:numCache>
            </c:numRef>
          </c:val>
          <c:extLst>
            <c:ext xmlns:c16="http://schemas.microsoft.com/office/drawing/2014/chart" uri="{C3380CC4-5D6E-409C-BE32-E72D297353CC}">
              <c16:uniqueId val="{00000000-4984-4FE5-8BA1-9C6EFC5204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182880</xdr:colOff>
      <xdr:row>16</xdr:row>
      <xdr:rowOff>49659</xdr:rowOff>
    </xdr:from>
    <xdr:to>
      <xdr:col>11</xdr:col>
      <xdr:colOff>390525</xdr:colOff>
      <xdr:row>34</xdr:row>
      <xdr:rowOff>53299</xdr:rowOff>
    </xdr:to>
    <xdr:grpSp>
      <xdr:nvGrpSpPr>
        <xdr:cNvPr id="11" name="Group 10">
          <a:extLst>
            <a:ext uri="{FF2B5EF4-FFF2-40B4-BE49-F238E27FC236}">
              <a16:creationId xmlns:a16="http://schemas.microsoft.com/office/drawing/2014/main" id="{5AC2D7EB-B9E0-5567-4B11-BFA9DF3F1E6D}"/>
            </a:ext>
          </a:extLst>
        </xdr:cNvPr>
        <xdr:cNvGrpSpPr/>
      </xdr:nvGrpSpPr>
      <xdr:grpSpPr>
        <a:xfrm>
          <a:off x="1714901" y="3001406"/>
          <a:ext cx="4747561" cy="3324356"/>
          <a:chOff x="1705978" y="2036706"/>
          <a:chExt cx="4411980" cy="3703320"/>
        </a:xfrm>
        <a:solidFill>
          <a:schemeClr val="tx1">
            <a:lumMod val="75000"/>
            <a:lumOff val="25000"/>
          </a:schemeClr>
        </a:solidFill>
      </xdr:grpSpPr>
      <xdr:sp macro="" textlink="">
        <xdr:nvSpPr>
          <xdr:cNvPr id="6" name="Rectangle: Rounded Corners 5">
            <a:extLst>
              <a:ext uri="{FF2B5EF4-FFF2-40B4-BE49-F238E27FC236}">
                <a16:creationId xmlns:a16="http://schemas.microsoft.com/office/drawing/2014/main" id="{476CD3D8-2621-6090-3E1F-A3866C2A2801}"/>
              </a:ext>
            </a:extLst>
          </xdr:cNvPr>
          <xdr:cNvSpPr/>
        </xdr:nvSpPr>
        <xdr:spPr>
          <a:xfrm>
            <a:off x="1705978" y="2036706"/>
            <a:ext cx="4411980" cy="37033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7" name="Chart 6">
            <a:extLst>
              <a:ext uri="{FF2B5EF4-FFF2-40B4-BE49-F238E27FC236}">
                <a16:creationId xmlns:a16="http://schemas.microsoft.com/office/drawing/2014/main" id="{F57FAE50-9FFE-4205-9478-5DE512C9D0DA}"/>
              </a:ext>
            </a:extLst>
          </xdr:cNvPr>
          <xdr:cNvGraphicFramePr>
            <a:graphicFrameLocks/>
          </xdr:cNvGraphicFramePr>
        </xdr:nvGraphicFramePr>
        <xdr:xfrm>
          <a:off x="1859280" y="2320704"/>
          <a:ext cx="4107180" cy="313521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91440</xdr:colOff>
      <xdr:row>11</xdr:row>
      <xdr:rowOff>150495</xdr:rowOff>
    </xdr:from>
    <xdr:to>
      <xdr:col>1</xdr:col>
      <xdr:colOff>129540</xdr:colOff>
      <xdr:row>34</xdr:row>
      <xdr:rowOff>47625</xdr:rowOff>
    </xdr:to>
    <xdr:grpSp>
      <xdr:nvGrpSpPr>
        <xdr:cNvPr id="14" name="Group 13">
          <a:extLst>
            <a:ext uri="{FF2B5EF4-FFF2-40B4-BE49-F238E27FC236}">
              <a16:creationId xmlns:a16="http://schemas.microsoft.com/office/drawing/2014/main" id="{14C7FD2F-9EB1-DDCE-F0B5-7C3702A7DF7E}"/>
            </a:ext>
          </a:extLst>
        </xdr:cNvPr>
        <xdr:cNvGrpSpPr/>
      </xdr:nvGrpSpPr>
      <xdr:grpSpPr>
        <a:xfrm>
          <a:off x="91440" y="2179821"/>
          <a:ext cx="1570121" cy="4140267"/>
          <a:chOff x="91440" y="1931670"/>
          <a:chExt cx="1571625" cy="4059555"/>
        </a:xfrm>
      </xdr:grpSpPr>
      <xdr:sp macro="" textlink="">
        <xdr:nvSpPr>
          <xdr:cNvPr id="5" name="Rectangle: Rounded Corners 4">
            <a:extLst>
              <a:ext uri="{FF2B5EF4-FFF2-40B4-BE49-F238E27FC236}">
                <a16:creationId xmlns:a16="http://schemas.microsoft.com/office/drawing/2014/main" id="{FAD541AF-3D4E-D7E0-5748-18F1BA423E7F}"/>
              </a:ext>
            </a:extLst>
          </xdr:cNvPr>
          <xdr:cNvSpPr/>
        </xdr:nvSpPr>
        <xdr:spPr>
          <a:xfrm>
            <a:off x="91440" y="1931670"/>
            <a:ext cx="1571625" cy="405955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8" name="Months (Month) 1">
                <a:extLst>
                  <a:ext uri="{FF2B5EF4-FFF2-40B4-BE49-F238E27FC236}">
                    <a16:creationId xmlns:a16="http://schemas.microsoft.com/office/drawing/2014/main" id="{124FBA13-F6A8-42EB-9504-AB6328D58931}"/>
                  </a:ext>
                </a:extLst>
              </xdr:cNvPr>
              <xdr:cNvGraphicFramePr>
                <a:graphicFrameLocks noChangeAspect="1"/>
              </xdr:cNvGraphicFramePr>
            </xdr:nvGraphicFramePr>
            <xdr:xfrm>
              <a:off x="215550" y="2085108"/>
              <a:ext cx="1300830" cy="3797532"/>
            </xdr:xfrm>
            <a:graphic>
              <a:graphicData uri="http://schemas.microsoft.com/office/drawing/2010/slicer">
                <sle:slicer xmlns:sle="http://schemas.microsoft.com/office/drawing/2010/slicer" name="Months (Month) 1"/>
              </a:graphicData>
            </a:graphic>
          </xdr:graphicFrame>
        </mc:Choice>
        <mc:Fallback xmlns="">
          <xdr:sp macro="" textlink="">
            <xdr:nvSpPr>
              <xdr:cNvPr id="0" name=""/>
              <xdr:cNvSpPr>
                <a:spLocks noTextEdit="1"/>
              </xdr:cNvSpPr>
            </xdr:nvSpPr>
            <xdr:spPr>
              <a:xfrm>
                <a:off x="215431" y="2336310"/>
                <a:ext cx="1299585" cy="3873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68580</xdr:colOff>
      <xdr:row>4</xdr:row>
      <xdr:rowOff>114300</xdr:rowOff>
    </xdr:from>
    <xdr:to>
      <xdr:col>1</xdr:col>
      <xdr:colOff>123825</xdr:colOff>
      <xdr:row>11</xdr:row>
      <xdr:rowOff>123825</xdr:rowOff>
    </xdr:to>
    <xdr:grpSp>
      <xdr:nvGrpSpPr>
        <xdr:cNvPr id="15" name="Group 14">
          <a:extLst>
            <a:ext uri="{FF2B5EF4-FFF2-40B4-BE49-F238E27FC236}">
              <a16:creationId xmlns:a16="http://schemas.microsoft.com/office/drawing/2014/main" id="{46AE1CEA-D0A6-0DA4-6F63-89BBFAE663D4}"/>
            </a:ext>
          </a:extLst>
        </xdr:cNvPr>
        <xdr:cNvGrpSpPr/>
      </xdr:nvGrpSpPr>
      <xdr:grpSpPr>
        <a:xfrm>
          <a:off x="68580" y="852237"/>
          <a:ext cx="1587266" cy="1300914"/>
          <a:chOff x="68580" y="838200"/>
          <a:chExt cx="1588770" cy="1276350"/>
        </a:xfrm>
      </xdr:grpSpPr>
      <xdr:sp macro="" textlink="">
        <xdr:nvSpPr>
          <xdr:cNvPr id="3" name="Rectangle: Rounded Corners 2">
            <a:extLst>
              <a:ext uri="{FF2B5EF4-FFF2-40B4-BE49-F238E27FC236}">
                <a16:creationId xmlns:a16="http://schemas.microsoft.com/office/drawing/2014/main" id="{681B7686-4E54-5043-1248-697D64F9DFAE}"/>
              </a:ext>
            </a:extLst>
          </xdr:cNvPr>
          <xdr:cNvSpPr/>
        </xdr:nvSpPr>
        <xdr:spPr>
          <a:xfrm>
            <a:off x="68580" y="838200"/>
            <a:ext cx="1588770" cy="127635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9" name="Years (Month) 1">
                <a:extLst>
                  <a:ext uri="{FF2B5EF4-FFF2-40B4-BE49-F238E27FC236}">
                    <a16:creationId xmlns:a16="http://schemas.microsoft.com/office/drawing/2014/main" id="{FC770A81-7C1F-4DEB-A936-35F5EE76CE94}"/>
                  </a:ext>
                </a:extLst>
              </xdr:cNvPr>
              <xdr:cNvGraphicFramePr/>
            </xdr:nvGraphicFramePr>
            <xdr:xfrm>
              <a:off x="163340" y="942976"/>
              <a:ext cx="1415905" cy="1104899"/>
            </xdr:xfrm>
            <a:graphic>
              <a:graphicData uri="http://schemas.microsoft.com/office/drawing/2010/slicer">
                <sle:slicer xmlns:sle="http://schemas.microsoft.com/office/drawing/2010/slicer" name="Years (Month) 1"/>
              </a:graphicData>
            </a:graphic>
          </xdr:graphicFrame>
        </mc:Choice>
        <mc:Fallback xmlns="">
          <xdr:sp macro="" textlink="">
            <xdr:nvSpPr>
              <xdr:cNvPr id="0" name=""/>
              <xdr:cNvSpPr>
                <a:spLocks noTextEdit="1"/>
              </xdr:cNvSpPr>
            </xdr:nvSpPr>
            <xdr:spPr>
              <a:xfrm>
                <a:off x="163250" y="959029"/>
                <a:ext cx="1414565" cy="1126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141270</xdr:colOff>
      <xdr:row>0</xdr:row>
      <xdr:rowOff>76200</xdr:rowOff>
    </xdr:from>
    <xdr:to>
      <xdr:col>37</xdr:col>
      <xdr:colOff>9525</xdr:colOff>
      <xdr:row>16</xdr:row>
      <xdr:rowOff>7620</xdr:rowOff>
    </xdr:to>
    <xdr:grpSp>
      <xdr:nvGrpSpPr>
        <xdr:cNvPr id="20" name="Group 19">
          <a:extLst>
            <a:ext uri="{FF2B5EF4-FFF2-40B4-BE49-F238E27FC236}">
              <a16:creationId xmlns:a16="http://schemas.microsoft.com/office/drawing/2014/main" id="{F2BDCC93-06E5-1920-D252-FCE2C6999A68}"/>
            </a:ext>
          </a:extLst>
        </xdr:cNvPr>
        <xdr:cNvGrpSpPr/>
      </xdr:nvGrpSpPr>
      <xdr:grpSpPr>
        <a:xfrm>
          <a:off x="6213207" y="76200"/>
          <a:ext cx="8667350" cy="2883167"/>
          <a:chOff x="1729740" y="525780"/>
          <a:chExt cx="3261360" cy="2324100"/>
        </a:xfrm>
      </xdr:grpSpPr>
      <xdr:sp macro="" textlink="">
        <xdr:nvSpPr>
          <xdr:cNvPr id="12" name="Rectangle: Rounded Corners 11">
            <a:extLst>
              <a:ext uri="{FF2B5EF4-FFF2-40B4-BE49-F238E27FC236}">
                <a16:creationId xmlns:a16="http://schemas.microsoft.com/office/drawing/2014/main" id="{B52CC8E3-A67C-150A-2697-93989540B14E}"/>
              </a:ext>
            </a:extLst>
          </xdr:cNvPr>
          <xdr:cNvSpPr/>
        </xdr:nvSpPr>
        <xdr:spPr>
          <a:xfrm>
            <a:off x="1729740" y="525780"/>
            <a:ext cx="3261360" cy="23241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3" name="Chart 12">
            <a:extLst>
              <a:ext uri="{FF2B5EF4-FFF2-40B4-BE49-F238E27FC236}">
                <a16:creationId xmlns:a16="http://schemas.microsoft.com/office/drawing/2014/main" id="{AF99E168-C7EC-4132-B320-D254E7FBC2F1}"/>
              </a:ext>
            </a:extLst>
          </xdr:cNvPr>
          <xdr:cNvGraphicFramePr>
            <a:graphicFrameLocks/>
          </xdr:cNvGraphicFramePr>
        </xdr:nvGraphicFramePr>
        <xdr:xfrm>
          <a:off x="1947286" y="637337"/>
          <a:ext cx="2811780" cy="210718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12</xdr:col>
      <xdr:colOff>29475</xdr:colOff>
      <xdr:row>16</xdr:row>
      <xdr:rowOff>70463</xdr:rowOff>
    </xdr:from>
    <xdr:to>
      <xdr:col>25</xdr:col>
      <xdr:colOff>85725</xdr:colOff>
      <xdr:row>34</xdr:row>
      <xdr:rowOff>74103</xdr:rowOff>
    </xdr:to>
    <xdr:grpSp>
      <xdr:nvGrpSpPr>
        <xdr:cNvPr id="35" name="Group 34">
          <a:extLst>
            <a:ext uri="{FF2B5EF4-FFF2-40B4-BE49-F238E27FC236}">
              <a16:creationId xmlns:a16="http://schemas.microsoft.com/office/drawing/2014/main" id="{608E205B-C629-09FE-E45C-4D4DC512EED1}"/>
            </a:ext>
          </a:extLst>
        </xdr:cNvPr>
        <xdr:cNvGrpSpPr/>
      </xdr:nvGrpSpPr>
      <xdr:grpSpPr>
        <a:xfrm>
          <a:off x="6510486" y="3022210"/>
          <a:ext cx="4387618" cy="3324356"/>
          <a:chOff x="5855671" y="2870172"/>
          <a:chExt cx="4680000" cy="3240000"/>
        </a:xfrm>
      </xdr:grpSpPr>
      <xdr:sp macro="" textlink="">
        <xdr:nvSpPr>
          <xdr:cNvPr id="16" name="Rectangle: Rounded Corners 15">
            <a:extLst>
              <a:ext uri="{FF2B5EF4-FFF2-40B4-BE49-F238E27FC236}">
                <a16:creationId xmlns:a16="http://schemas.microsoft.com/office/drawing/2014/main" id="{AD4A0774-C47A-368D-15EF-5627A79649A6}"/>
              </a:ext>
            </a:extLst>
          </xdr:cNvPr>
          <xdr:cNvSpPr/>
        </xdr:nvSpPr>
        <xdr:spPr>
          <a:xfrm>
            <a:off x="5855671" y="2870172"/>
            <a:ext cx="4680000" cy="32400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7" name="Chart 2">
            <a:extLst>
              <a:ext uri="{FF2B5EF4-FFF2-40B4-BE49-F238E27FC236}">
                <a16:creationId xmlns:a16="http://schemas.microsoft.com/office/drawing/2014/main" id="{B78E6164-C38F-4981-936B-785891899C80}"/>
              </a:ext>
            </a:extLst>
          </xdr:cNvPr>
          <xdr:cNvGraphicFramePr>
            <a:graphicFrameLocks/>
          </xdr:cNvGraphicFramePr>
        </xdr:nvGraphicFramePr>
        <xdr:xfrm>
          <a:off x="6061753" y="3213671"/>
          <a:ext cx="4132694" cy="244096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25</xdr:col>
      <xdr:colOff>128962</xdr:colOff>
      <xdr:row>16</xdr:row>
      <xdr:rowOff>88574</xdr:rowOff>
    </xdr:from>
    <xdr:to>
      <xdr:col>37</xdr:col>
      <xdr:colOff>95250</xdr:colOff>
      <xdr:row>34</xdr:row>
      <xdr:rowOff>92214</xdr:rowOff>
    </xdr:to>
    <xdr:grpSp>
      <xdr:nvGrpSpPr>
        <xdr:cNvPr id="34" name="Group 33">
          <a:extLst>
            <a:ext uri="{FF2B5EF4-FFF2-40B4-BE49-F238E27FC236}">
              <a16:creationId xmlns:a16="http://schemas.microsoft.com/office/drawing/2014/main" id="{2184532E-E4C3-5A28-2A7D-2433C594CA32}"/>
            </a:ext>
          </a:extLst>
        </xdr:cNvPr>
        <xdr:cNvGrpSpPr/>
      </xdr:nvGrpSpPr>
      <xdr:grpSpPr>
        <a:xfrm>
          <a:off x="10941341" y="3040321"/>
          <a:ext cx="4024941" cy="3324356"/>
          <a:chOff x="9637605" y="2929841"/>
          <a:chExt cx="4558387" cy="2983444"/>
        </a:xfrm>
      </xdr:grpSpPr>
      <xdr:sp macro="" textlink="">
        <xdr:nvSpPr>
          <xdr:cNvPr id="18" name="Rectangle: Rounded Corners 17">
            <a:extLst>
              <a:ext uri="{FF2B5EF4-FFF2-40B4-BE49-F238E27FC236}">
                <a16:creationId xmlns:a16="http://schemas.microsoft.com/office/drawing/2014/main" id="{F7BB5403-3D79-41F1-AC3C-C11DE8F54F12}"/>
              </a:ext>
            </a:extLst>
          </xdr:cNvPr>
          <xdr:cNvSpPr/>
        </xdr:nvSpPr>
        <xdr:spPr>
          <a:xfrm>
            <a:off x="9637605" y="2929841"/>
            <a:ext cx="4558387" cy="2983444"/>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3" name="Chart 1">
            <a:extLst>
              <a:ext uri="{FF2B5EF4-FFF2-40B4-BE49-F238E27FC236}">
                <a16:creationId xmlns:a16="http://schemas.microsoft.com/office/drawing/2014/main" id="{9ADDA55F-0778-4216-B35F-B935D6B49D4D}"/>
              </a:ext>
            </a:extLst>
          </xdr:cNvPr>
          <xdr:cNvGraphicFramePr>
            <a:graphicFrameLocks/>
          </xdr:cNvGraphicFramePr>
        </xdr:nvGraphicFramePr>
        <xdr:xfrm>
          <a:off x="9752915" y="3170862"/>
          <a:ext cx="4285009" cy="243334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55245</xdr:colOff>
      <xdr:row>0</xdr:row>
      <xdr:rowOff>137160</xdr:rowOff>
    </xdr:from>
    <xdr:to>
      <xdr:col>10</xdr:col>
      <xdr:colOff>257175</xdr:colOff>
      <xdr:row>4</xdr:row>
      <xdr:rowOff>91440</xdr:rowOff>
    </xdr:to>
    <xdr:grpSp>
      <xdr:nvGrpSpPr>
        <xdr:cNvPr id="4" name="Group 3">
          <a:extLst>
            <a:ext uri="{FF2B5EF4-FFF2-40B4-BE49-F238E27FC236}">
              <a16:creationId xmlns:a16="http://schemas.microsoft.com/office/drawing/2014/main" id="{7BB18C28-DD19-2126-304C-04BCA9B31572}"/>
            </a:ext>
          </a:extLst>
        </xdr:cNvPr>
        <xdr:cNvGrpSpPr/>
      </xdr:nvGrpSpPr>
      <xdr:grpSpPr>
        <a:xfrm>
          <a:off x="55245" y="137160"/>
          <a:ext cx="5928962" cy="692217"/>
          <a:chOff x="55245" y="137160"/>
          <a:chExt cx="5229225" cy="678180"/>
        </a:xfrm>
      </xdr:grpSpPr>
      <xdr:sp macro="" textlink="">
        <xdr:nvSpPr>
          <xdr:cNvPr id="25" name="Rectangle: Rounded Corners 24">
            <a:extLst>
              <a:ext uri="{FF2B5EF4-FFF2-40B4-BE49-F238E27FC236}">
                <a16:creationId xmlns:a16="http://schemas.microsoft.com/office/drawing/2014/main" id="{CABFD55D-FB31-E703-6EBC-D4F6C9847517}"/>
              </a:ext>
            </a:extLst>
          </xdr:cNvPr>
          <xdr:cNvSpPr/>
        </xdr:nvSpPr>
        <xdr:spPr>
          <a:xfrm>
            <a:off x="55245" y="137160"/>
            <a:ext cx="5229225" cy="67818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6" name="TextBox 25">
            <a:extLst>
              <a:ext uri="{FF2B5EF4-FFF2-40B4-BE49-F238E27FC236}">
                <a16:creationId xmlns:a16="http://schemas.microsoft.com/office/drawing/2014/main" id="{29C01493-6227-6901-7EA5-0F9DF9B34011}"/>
              </a:ext>
            </a:extLst>
          </xdr:cNvPr>
          <xdr:cNvSpPr txBox="1"/>
        </xdr:nvSpPr>
        <xdr:spPr>
          <a:xfrm>
            <a:off x="137160" y="257175"/>
            <a:ext cx="4962525" cy="44577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a:solidFill>
                  <a:schemeClr val="bg1"/>
                </a:solidFill>
              </a:rPr>
              <a:t>SALES</a:t>
            </a:r>
            <a:r>
              <a:rPr lang="en-GB" sz="2800" b="1" baseline="0">
                <a:solidFill>
                  <a:schemeClr val="bg1"/>
                </a:solidFill>
              </a:rPr>
              <a:t> ANALYSIS DASHBOARD</a:t>
            </a:r>
            <a:endParaRPr lang="en-GB" sz="2800" b="1">
              <a:solidFill>
                <a:schemeClr val="bg1"/>
              </a:solidFill>
            </a:endParaRPr>
          </a:p>
        </xdr:txBody>
      </xdr:sp>
    </xdr:grpSp>
    <xdr:clientData/>
  </xdr:twoCellAnchor>
  <xdr:twoCellAnchor>
    <xdr:from>
      <xdr:col>1</xdr:col>
      <xdr:colOff>213359</xdr:colOff>
      <xdr:row>10</xdr:row>
      <xdr:rowOff>76200</xdr:rowOff>
    </xdr:from>
    <xdr:to>
      <xdr:col>5</xdr:col>
      <xdr:colOff>180975</xdr:colOff>
      <xdr:row>15</xdr:row>
      <xdr:rowOff>123825</xdr:rowOff>
    </xdr:to>
    <xdr:grpSp>
      <xdr:nvGrpSpPr>
        <xdr:cNvPr id="10" name="Group 9">
          <a:extLst>
            <a:ext uri="{FF2B5EF4-FFF2-40B4-BE49-F238E27FC236}">
              <a16:creationId xmlns:a16="http://schemas.microsoft.com/office/drawing/2014/main" id="{0621C0F3-01D0-1F05-A5DC-D4039FABDF2A}"/>
            </a:ext>
          </a:extLst>
        </xdr:cNvPr>
        <xdr:cNvGrpSpPr/>
      </xdr:nvGrpSpPr>
      <xdr:grpSpPr>
        <a:xfrm>
          <a:off x="1745380" y="1921042"/>
          <a:ext cx="1900690" cy="970046"/>
          <a:chOff x="1746885" y="1885950"/>
          <a:chExt cx="1550670" cy="882015"/>
        </a:xfrm>
      </xdr:grpSpPr>
      <xdr:sp macro="" textlink="">
        <xdr:nvSpPr>
          <xdr:cNvPr id="28" name="Rectangle: Rounded Corners 27">
            <a:extLst>
              <a:ext uri="{FF2B5EF4-FFF2-40B4-BE49-F238E27FC236}">
                <a16:creationId xmlns:a16="http://schemas.microsoft.com/office/drawing/2014/main" id="{215C74BF-0742-4618-A2BE-8DB2AB566B6A}"/>
              </a:ext>
            </a:extLst>
          </xdr:cNvPr>
          <xdr:cNvSpPr/>
        </xdr:nvSpPr>
        <xdr:spPr>
          <a:xfrm>
            <a:off x="1746885" y="1885950"/>
            <a:ext cx="1550670" cy="88201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2" name="TextBox 31">
            <a:extLst>
              <a:ext uri="{FF2B5EF4-FFF2-40B4-BE49-F238E27FC236}">
                <a16:creationId xmlns:a16="http://schemas.microsoft.com/office/drawing/2014/main" id="{25EA5FCF-27AB-E7BC-2539-10088EA8C2D3}"/>
              </a:ext>
            </a:extLst>
          </xdr:cNvPr>
          <xdr:cNvSpPr txBox="1"/>
        </xdr:nvSpPr>
        <xdr:spPr>
          <a:xfrm>
            <a:off x="1838325" y="1946910"/>
            <a:ext cx="1383030" cy="810524"/>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Best</a:t>
            </a:r>
            <a:r>
              <a:rPr lang="en-GB" sz="1400" b="1" baseline="0">
                <a:solidFill>
                  <a:schemeClr val="bg1"/>
                </a:solidFill>
              </a:rPr>
              <a:t> month performance </a:t>
            </a:r>
          </a:p>
          <a:p>
            <a:r>
              <a:rPr lang="en-GB" sz="1400" baseline="0">
                <a:solidFill>
                  <a:schemeClr val="bg1"/>
                </a:solidFill>
              </a:rPr>
              <a:t>NOV 2017</a:t>
            </a:r>
            <a:endParaRPr lang="en-GB" sz="1100" b="1" i="0" u="none" strike="noStrike" baseline="0">
              <a:solidFill>
                <a:schemeClr val="dk1"/>
              </a:solidFill>
              <a:effectLst/>
              <a:latin typeface="+mn-lt"/>
              <a:ea typeface="+mn-ea"/>
              <a:cs typeface="+mn-cs"/>
            </a:endParaRPr>
          </a:p>
          <a:p>
            <a:endParaRPr lang="en-GB" sz="1800" baseline="0">
              <a:solidFill>
                <a:schemeClr val="bg1"/>
              </a:solidFill>
            </a:endParaRPr>
          </a:p>
          <a:p>
            <a:endParaRPr lang="en-GB" sz="1200"/>
          </a:p>
        </xdr:txBody>
      </xdr:sp>
    </xdr:grpSp>
    <xdr:clientData/>
  </xdr:twoCellAnchor>
  <xdr:twoCellAnchor>
    <xdr:from>
      <xdr:col>5</xdr:col>
      <xdr:colOff>228599</xdr:colOff>
      <xdr:row>10</xdr:row>
      <xdr:rowOff>57149</xdr:rowOff>
    </xdr:from>
    <xdr:to>
      <xdr:col>10</xdr:col>
      <xdr:colOff>257175</xdr:colOff>
      <xdr:row>15</xdr:row>
      <xdr:rowOff>95249</xdr:rowOff>
    </xdr:to>
    <xdr:grpSp>
      <xdr:nvGrpSpPr>
        <xdr:cNvPr id="2" name="Group 1">
          <a:extLst>
            <a:ext uri="{FF2B5EF4-FFF2-40B4-BE49-F238E27FC236}">
              <a16:creationId xmlns:a16="http://schemas.microsoft.com/office/drawing/2014/main" id="{60045621-2128-CEBE-1187-07B5857FF38C}"/>
            </a:ext>
          </a:extLst>
        </xdr:cNvPr>
        <xdr:cNvGrpSpPr/>
      </xdr:nvGrpSpPr>
      <xdr:grpSpPr>
        <a:xfrm>
          <a:off x="3693694" y="1901991"/>
          <a:ext cx="2290513" cy="960521"/>
          <a:chOff x="3377565" y="1828800"/>
          <a:chExt cx="1664970" cy="882015"/>
        </a:xfrm>
      </xdr:grpSpPr>
      <xdr:sp macro="" textlink="">
        <xdr:nvSpPr>
          <xdr:cNvPr id="29" name="Rectangle: Rounded Corners 28">
            <a:extLst>
              <a:ext uri="{FF2B5EF4-FFF2-40B4-BE49-F238E27FC236}">
                <a16:creationId xmlns:a16="http://schemas.microsoft.com/office/drawing/2014/main" id="{CA055ADE-B971-46DD-9A92-FF512B85A3C6}"/>
              </a:ext>
            </a:extLst>
          </xdr:cNvPr>
          <xdr:cNvSpPr/>
        </xdr:nvSpPr>
        <xdr:spPr>
          <a:xfrm>
            <a:off x="3377565" y="1828800"/>
            <a:ext cx="1664970" cy="88201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3" name="TextBox 32">
            <a:extLst>
              <a:ext uri="{FF2B5EF4-FFF2-40B4-BE49-F238E27FC236}">
                <a16:creationId xmlns:a16="http://schemas.microsoft.com/office/drawing/2014/main" id="{EC766648-CA9F-47AE-068A-198AD055E871}"/>
              </a:ext>
            </a:extLst>
          </xdr:cNvPr>
          <xdr:cNvSpPr txBox="1"/>
        </xdr:nvSpPr>
        <xdr:spPr>
          <a:xfrm>
            <a:off x="3571875" y="1946910"/>
            <a:ext cx="1405890" cy="731520"/>
          </a:xfrm>
          <a:prstGeom prst="rect">
            <a:avLst/>
          </a:prstGeom>
          <a:solidFill>
            <a:srgbClr val="3F3F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FFFFF"/>
                </a:solidFill>
              </a:rPr>
              <a:t>Best</a:t>
            </a:r>
            <a:r>
              <a:rPr lang="en-GB" sz="1400" b="1" baseline="0">
                <a:solidFill>
                  <a:srgbClr val="FFFFFF"/>
                </a:solidFill>
              </a:rPr>
              <a:t> category</a:t>
            </a:r>
          </a:p>
          <a:p>
            <a:r>
              <a:rPr lang="en-GB" sz="1400" baseline="0">
                <a:solidFill>
                  <a:srgbClr val="FFFFFF"/>
                </a:solidFill>
              </a:rPr>
              <a:t>Health beauty</a:t>
            </a:r>
          </a:p>
          <a:p>
            <a:endParaRPr lang="en-GB" sz="1400" baseline="0">
              <a:solidFill>
                <a:srgbClr val="FFFFFF"/>
              </a:solidFill>
            </a:endParaRPr>
          </a:p>
          <a:p>
            <a:endParaRPr lang="en-GB" sz="1400"/>
          </a:p>
        </xdr:txBody>
      </xdr:sp>
    </xdr:grpSp>
    <xdr:clientData/>
  </xdr:twoCellAnchor>
  <xdr:twoCellAnchor>
    <xdr:from>
      <xdr:col>1</xdr:col>
      <xdr:colOff>266701</xdr:colOff>
      <xdr:row>5</xdr:row>
      <xdr:rowOff>9526</xdr:rowOff>
    </xdr:from>
    <xdr:to>
      <xdr:col>10</xdr:col>
      <xdr:colOff>238126</xdr:colOff>
      <xdr:row>9</xdr:row>
      <xdr:rowOff>160795</xdr:rowOff>
    </xdr:to>
    <xdr:grpSp>
      <xdr:nvGrpSpPr>
        <xdr:cNvPr id="24" name="Group 23">
          <a:extLst>
            <a:ext uri="{FF2B5EF4-FFF2-40B4-BE49-F238E27FC236}">
              <a16:creationId xmlns:a16="http://schemas.microsoft.com/office/drawing/2014/main" id="{DCDF3C9E-DFA8-4F3C-9693-F6A6E9F4BF8C}"/>
            </a:ext>
          </a:extLst>
        </xdr:cNvPr>
        <xdr:cNvGrpSpPr/>
      </xdr:nvGrpSpPr>
      <xdr:grpSpPr>
        <a:xfrm>
          <a:off x="1798722" y="931947"/>
          <a:ext cx="4166436" cy="889206"/>
          <a:chOff x="7421468" y="599000"/>
          <a:chExt cx="2150198" cy="777089"/>
        </a:xfrm>
        <a:solidFill>
          <a:schemeClr val="tx1">
            <a:lumMod val="75000"/>
            <a:lumOff val="25000"/>
          </a:schemeClr>
        </a:solidFill>
      </xdr:grpSpPr>
      <xdr:sp macro="" textlink="">
        <xdr:nvSpPr>
          <xdr:cNvPr id="31" name="Rectangle: Rounded Corners 30">
            <a:extLst>
              <a:ext uri="{FF2B5EF4-FFF2-40B4-BE49-F238E27FC236}">
                <a16:creationId xmlns:a16="http://schemas.microsoft.com/office/drawing/2014/main" id="{0309F615-DF52-1CCF-C904-2DBCBE512144}"/>
              </a:ext>
            </a:extLst>
          </xdr:cNvPr>
          <xdr:cNvSpPr/>
        </xdr:nvSpPr>
        <xdr:spPr>
          <a:xfrm>
            <a:off x="7421468" y="599000"/>
            <a:ext cx="2150198" cy="777089"/>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2">
                  <a:lumMod val="90000"/>
                </a:schemeClr>
              </a:solidFill>
            </a:endParaRPr>
          </a:p>
        </xdr:txBody>
      </xdr:sp>
      <xdr:sp macro="" textlink="$H$6">
        <xdr:nvSpPr>
          <xdr:cNvPr id="37" name="TextBox 36">
            <a:extLst>
              <a:ext uri="{FF2B5EF4-FFF2-40B4-BE49-F238E27FC236}">
                <a16:creationId xmlns:a16="http://schemas.microsoft.com/office/drawing/2014/main" id="{CE2D0A12-9F13-8D12-0743-3481B8B521A1}"/>
              </a:ext>
            </a:extLst>
          </xdr:cNvPr>
          <xdr:cNvSpPr txBox="1"/>
        </xdr:nvSpPr>
        <xdr:spPr>
          <a:xfrm>
            <a:off x="8560099" y="840958"/>
            <a:ext cx="844069" cy="3651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792D9CA-1BF0-4583-A06E-9CD6F80077E7}" type="TxLink">
              <a:rPr lang="en-US" sz="2000" b="0" i="0" u="none" strike="noStrike">
                <a:solidFill>
                  <a:schemeClr val="bg1"/>
                </a:solidFill>
                <a:latin typeface="Aptos Narrow"/>
              </a:rPr>
              <a:pPr/>
              <a:t>13,494,256</a:t>
            </a:fld>
            <a:endParaRPr lang="en-GB" sz="4000">
              <a:solidFill>
                <a:schemeClr val="bg1"/>
              </a:solidFill>
            </a:endParaRPr>
          </a:p>
        </xdr:txBody>
      </xdr:sp>
      <xdr:sp macro="" textlink="">
        <xdr:nvSpPr>
          <xdr:cNvPr id="38" name="TextBox 37">
            <a:extLst>
              <a:ext uri="{FF2B5EF4-FFF2-40B4-BE49-F238E27FC236}">
                <a16:creationId xmlns:a16="http://schemas.microsoft.com/office/drawing/2014/main" id="{E15BBE00-A06A-F043-0AF1-A2714A821198}"/>
              </a:ext>
            </a:extLst>
          </xdr:cNvPr>
          <xdr:cNvSpPr txBox="1"/>
        </xdr:nvSpPr>
        <xdr:spPr>
          <a:xfrm>
            <a:off x="7573900" y="806114"/>
            <a:ext cx="1036094" cy="32269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1"/>
                </a:solidFill>
              </a:rPr>
              <a:t>Total revenue :</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304800</xdr:colOff>
      <xdr:row>15</xdr:row>
      <xdr:rowOff>0</xdr:rowOff>
    </xdr:to>
    <xdr:graphicFrame macro="">
      <xdr:nvGraphicFramePr>
        <xdr:cNvPr id="2" name="Chart 3">
          <a:extLst>
            <a:ext uri="{FF2B5EF4-FFF2-40B4-BE49-F238E27FC236}">
              <a16:creationId xmlns:a16="http://schemas.microsoft.com/office/drawing/2014/main" id="{32DB3D03-1CD4-B26E-9DDA-E5E8DB24D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472440</xdr:colOff>
      <xdr:row>49</xdr:row>
      <xdr:rowOff>129540</xdr:rowOff>
    </xdr:from>
    <xdr:to>
      <xdr:col>11</xdr:col>
      <xdr:colOff>167640</xdr:colOff>
      <xdr:row>64</xdr:row>
      <xdr:rowOff>129540</xdr:rowOff>
    </xdr:to>
    <xdr:graphicFrame macro="">
      <xdr:nvGraphicFramePr>
        <xdr:cNvPr id="3" name="Chart 1">
          <a:extLst>
            <a:ext uri="{FF2B5EF4-FFF2-40B4-BE49-F238E27FC236}">
              <a16:creationId xmlns:a16="http://schemas.microsoft.com/office/drawing/2014/main" id="{918C2370-F6FC-8163-A0AE-8535C131D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312420</xdr:colOff>
      <xdr:row>0</xdr:row>
      <xdr:rowOff>15240</xdr:rowOff>
    </xdr:from>
    <xdr:to>
      <xdr:col>17</xdr:col>
      <xdr:colOff>7620</xdr:colOff>
      <xdr:row>15</xdr:row>
      <xdr:rowOff>15240</xdr:rowOff>
    </xdr:to>
    <xdr:graphicFrame macro="">
      <xdr:nvGraphicFramePr>
        <xdr:cNvPr id="4" name="Chart 6">
          <a:extLst>
            <a:ext uri="{FF2B5EF4-FFF2-40B4-BE49-F238E27FC236}">
              <a16:creationId xmlns:a16="http://schemas.microsoft.com/office/drawing/2014/main" id="{D0BB668E-816A-2C58-3601-2684CE83D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827204</xdr:colOff>
      <xdr:row>15</xdr:row>
      <xdr:rowOff>38100</xdr:rowOff>
    </xdr:from>
    <xdr:to>
      <xdr:col>13</xdr:col>
      <xdr:colOff>160020</xdr:colOff>
      <xdr:row>39</xdr:row>
      <xdr:rowOff>91440</xdr:rowOff>
    </xdr:to>
    <xdr:graphicFrame macro="">
      <xdr:nvGraphicFramePr>
        <xdr:cNvPr id="5" name="Chart 2">
          <a:extLst>
            <a:ext uri="{FF2B5EF4-FFF2-40B4-BE49-F238E27FC236}">
              <a16:creationId xmlns:a16="http://schemas.microsoft.com/office/drawing/2014/main" id="{A6852423-7CB6-E128-1AA6-A6D80A9C4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160020</xdr:colOff>
      <xdr:row>14</xdr:row>
      <xdr:rowOff>167640</xdr:rowOff>
    </xdr:from>
    <xdr:to>
      <xdr:col>20</xdr:col>
      <xdr:colOff>464820</xdr:colOff>
      <xdr:row>29</xdr:row>
      <xdr:rowOff>167640</xdr:rowOff>
    </xdr:to>
    <xdr:graphicFrame macro="">
      <xdr:nvGraphicFramePr>
        <xdr:cNvPr id="6" name="Chart 1">
          <a:extLst>
            <a:ext uri="{FF2B5EF4-FFF2-40B4-BE49-F238E27FC236}">
              <a16:creationId xmlns:a16="http://schemas.microsoft.com/office/drawing/2014/main" id="{A0A2ECD9-0CBF-5398-69BC-7DB184F9A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289560</xdr:colOff>
      <xdr:row>7</xdr:row>
      <xdr:rowOff>83820</xdr:rowOff>
    </xdr:from>
    <xdr:to>
      <xdr:col>8</xdr:col>
      <xdr:colOff>53340</xdr:colOff>
      <xdr:row>22</xdr:row>
      <xdr:rowOff>83820</xdr:rowOff>
    </xdr:to>
    <xdr:graphicFrame macro="">
      <xdr:nvGraphicFramePr>
        <xdr:cNvPr id="7" name="Chart 6">
          <a:extLst>
            <a:ext uri="{FF2B5EF4-FFF2-40B4-BE49-F238E27FC236}">
              <a16:creationId xmlns:a16="http://schemas.microsoft.com/office/drawing/2014/main" id="{0E42FA7D-9FB2-7F43-A11B-54566705F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10DE159-7467-4DEB-BA83-048F67DAC0B6}"/>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ntuli" refreshedDate="46195.90816215278" createdVersion="8" refreshedVersion="8" minRefreshableVersion="3" recordCount="1382" xr:uid="{06F9BAA4-C9BF-43E3-878F-3B1D73787530}">
  <cacheSource type="worksheet">
    <worksheetSource name="sales_per_category_region_202606221309"/>
  </cacheSource>
  <cacheFields count="4">
    <cacheField name="category" numFmtId="0">
      <sharedItems count="72">
        <s v="bed_bath_table"/>
        <s v="health_beauty"/>
        <s v="watches_gifts"/>
        <s v="sports_leisure"/>
        <s v="computers_accessories"/>
        <s v="furniture_decor"/>
        <s v="housewares"/>
        <s v="cool_stuff"/>
        <s v="auto"/>
        <s v="toys"/>
        <s v="perfumery"/>
        <s v="baby"/>
        <s v="garden_tools"/>
        <s v="office_furniture"/>
        <s v="telephony"/>
        <s v="stationery"/>
        <s v="pet_shop"/>
        <s v="small_appliances"/>
        <s v="musical_instruments"/>
        <s v="uncategorized"/>
        <s v="consoles_games"/>
        <s v="computers"/>
        <s v="construction_tools_construction"/>
        <s v="fashion_bags_accessories"/>
        <s v="luggage_accessories"/>
        <s v="electronics"/>
        <s v="home_construction"/>
        <s v="home_appliances"/>
        <s v="home_appliances_2"/>
        <s v="home_confort"/>
        <s v="agro_industry_and_commerce"/>
        <s v="kitchen_dining_laundry_garden_furniture"/>
        <s v="furniture_living_room"/>
        <s v="air_conditioning"/>
        <s v="books_general_interest"/>
        <s v="industry_commerce_and_business"/>
        <s v="fixed_telephony"/>
        <s v="construction_tools_lights"/>
        <s v="audio"/>
        <s v="small_appliances_home_oven_and_coffee"/>
        <s v="food"/>
        <s v="art"/>
        <s v="construction_tools_safety"/>
        <s v="furniture_bedroom"/>
        <s v="market_place"/>
        <s v="drinks"/>
        <s v="signaling_and_security"/>
        <s v="books_technical"/>
        <s v="costruction_tools_garden"/>
        <s v="costruction_tools_tools"/>
        <s v="fashion_shoes"/>
        <s v="food_drink"/>
        <s v="fashion_male_clothing"/>
        <s v="fashion_underwear_beach"/>
        <s v="dvds_blu_ray"/>
        <s v="books_imported"/>
        <s v="tablets_printing_image"/>
        <s v="christmas_supplies"/>
        <s v="music"/>
        <s v="furniture_mattress_and_upholstery"/>
        <s v="cine_photo"/>
        <s v="party_supplies"/>
        <s v="fashio_female_clothing"/>
        <s v="diapers_and_hygiene"/>
        <s v="fashion_sport"/>
        <s v="arts_and_craftmanship"/>
        <s v="la_cuisine"/>
        <s v="home_comfort_2"/>
        <s v="flowers"/>
        <s v="cds_dvds_musicals"/>
        <s v="fashion_childrens_clothes"/>
        <s v="security_and_services"/>
      </sharedItems>
    </cacheField>
    <cacheField name="customer_state" numFmtId="0">
      <sharedItems count="27">
        <s v="SP"/>
        <s v="RJ"/>
        <s v="MG"/>
        <s v="RS"/>
        <s v="PR"/>
        <s v="BA"/>
        <s v="SC"/>
        <s v="PE"/>
        <s v="DF"/>
        <s v="CE"/>
        <s v="GO"/>
        <s v="ES"/>
        <s v="PA"/>
        <s v="PB"/>
        <s v="MT"/>
        <s v="RN"/>
        <s v="AL"/>
        <s v="MA"/>
        <s v="MS"/>
        <s v="PI"/>
        <s v="SE"/>
        <s v="RO"/>
        <s v="TO"/>
        <s v="AM"/>
        <s v="AP"/>
        <s v="AC"/>
        <s v="RR"/>
      </sharedItems>
    </cacheField>
    <cacheField name="total_price" numFmtId="0">
      <sharedItems containsSemiMixedTypes="0" containsString="0" containsNumber="1" minValue="6.8" maxValue="477794.2" count="1318">
        <n v="477794.2"/>
        <n v="460474.09"/>
        <n v="431119.29"/>
        <n v="382266"/>
        <n v="347162.74"/>
        <n v="285743.40000000002"/>
        <n v="273483.94"/>
        <n v="212337.21"/>
        <n v="211338.6"/>
        <n v="183931.5"/>
        <n v="182906.27"/>
        <n v="166340.28"/>
        <n v="157433.32"/>
        <n v="155687.66"/>
        <n v="151561.10999999999"/>
        <n v="147785.43"/>
        <n v="144912.93"/>
        <n v="129487.18"/>
        <n v="123528.53"/>
        <n v="123473.54"/>
        <n v="119962.1"/>
        <n v="112371.29"/>
        <n v="109895.17"/>
        <n v="108018.87"/>
        <n v="103894.41"/>
        <n v="97656.61"/>
        <n v="90194.83"/>
        <n v="89116.36"/>
        <n v="82679.960000000006"/>
        <n v="78844.759999999995"/>
        <n v="76742.880000000005"/>
        <n v="76258.33"/>
        <n v="73502.8"/>
        <n v="73422.06"/>
        <n v="72069.289999999994"/>
        <n v="70185.539999999994"/>
        <n v="70177.39"/>
        <n v="68138.41"/>
        <n v="67967.070000000007"/>
        <n v="65648.2"/>
        <n v="62175.55"/>
        <n v="61993.27"/>
        <n v="60767.33"/>
        <n v="60563.32"/>
        <n v="60270.74"/>
        <n v="59859.040000000001"/>
        <n v="58888.2"/>
        <n v="58494.400000000001"/>
        <n v="57123.31"/>
        <n v="56925.17"/>
        <n v="54949.36"/>
        <n v="54813.58"/>
        <n v="53596.32"/>
        <n v="53435.29"/>
        <n v="52757.73"/>
        <n v="51840.24"/>
        <n v="51317.82"/>
        <n v="51217.91"/>
        <n v="49484.89"/>
        <n v="48820.59"/>
        <n v="48152.53"/>
        <n v="47730.39"/>
        <n v="47588.08"/>
        <n v="46532.19"/>
        <n v="45570.57"/>
        <n v="44177.39"/>
        <n v="43577.09"/>
        <n v="43466.9"/>
        <n v="42318.52"/>
        <n v="41604.78"/>
        <n v="39418.629999999997"/>
        <n v="38897.629999999997"/>
        <n v="38406.17"/>
        <n v="38244.85"/>
        <n v="37607.230000000003"/>
        <n v="37539.120000000003"/>
        <n v="35064.71"/>
        <n v="34824.699999999997"/>
        <n v="34208.58"/>
        <n v="33701.94"/>
        <n v="33494.910000000003"/>
        <n v="33419.33"/>
        <n v="33073.760000000002"/>
        <n v="33036.43"/>
        <n v="32730.37"/>
        <n v="32419.18"/>
        <n v="32358.720000000001"/>
        <n v="32335.34"/>
        <n v="31987.34"/>
        <n v="31162.61"/>
        <n v="31148.52"/>
        <n v="30994.78"/>
        <n v="30218.93"/>
        <n v="29862.82"/>
        <n v="29762.5"/>
        <n v="29607.4"/>
        <n v="29461"/>
        <n v="29285.24"/>
        <n v="29037.52"/>
        <n v="28822.51"/>
        <n v="28498.799999999999"/>
        <n v="28312.3"/>
        <n v="28150.240000000002"/>
        <n v="27511.58"/>
        <n v="27333.63"/>
        <n v="27228.49"/>
        <n v="27012.84"/>
        <n v="26455.59"/>
        <n v="26364.61"/>
        <n v="25943.119999999999"/>
        <n v="25884.05"/>
        <n v="25695.19"/>
        <n v="25483.53"/>
        <n v="25047.49"/>
        <n v="24228.51"/>
        <n v="24129.33"/>
        <n v="24035.21"/>
        <n v="23900.49"/>
        <n v="23900.26"/>
        <n v="23779.34"/>
        <n v="23755.83"/>
        <n v="23425.96"/>
        <n v="23332.23"/>
        <n v="23260.45"/>
        <n v="23190.31"/>
        <n v="22705.67"/>
        <n v="22686.65"/>
        <n v="22678.65"/>
        <n v="22645.31"/>
        <n v="22559.82"/>
        <n v="22460.04"/>
        <n v="21764.45"/>
        <n v="21144.41"/>
        <n v="21078.25"/>
        <n v="21043.99"/>
        <n v="21031.14"/>
        <n v="20973"/>
        <n v="20811.490000000002"/>
        <n v="20646.349999999999"/>
        <n v="20484.82"/>
        <n v="20304.349999999999"/>
        <n v="20302.91"/>
        <n v="20214.490000000002"/>
        <n v="20086.2"/>
        <n v="19952.669999999998"/>
        <n v="19547.25"/>
        <n v="19498.240000000002"/>
        <n v="19248.75"/>
        <n v="18792.310000000001"/>
        <n v="18520.7"/>
        <n v="18040.689999999999"/>
        <n v="17928.189999999999"/>
        <n v="17907.29"/>
        <n v="17894.16"/>
        <n v="17518.59"/>
        <n v="17389.04"/>
        <n v="17212.189999999999"/>
        <n v="17035.77"/>
        <n v="16878.47"/>
        <n v="16861.34"/>
        <n v="16697.34"/>
        <n v="16562.55"/>
        <n v="16446.2"/>
        <n v="16390.509999999998"/>
        <n v="16288.3"/>
        <n v="16286.98"/>
        <n v="15833.32"/>
        <n v="15717.12"/>
        <n v="15634.32"/>
        <n v="15482.43"/>
        <n v="15377.33"/>
        <n v="15328.67"/>
        <n v="15317.7"/>
        <n v="15301.79"/>
        <n v="15033.47"/>
        <n v="15014.58"/>
        <n v="15006.91"/>
        <n v="14937.84"/>
        <n v="14836.1"/>
        <n v="14509.03"/>
        <n v="14491.18"/>
        <n v="14245.52"/>
        <n v="14225.83"/>
        <n v="14127.57"/>
        <n v="13954.45"/>
        <n v="13886.47"/>
        <n v="13856.23"/>
        <n v="13388.88"/>
        <n v="13273.28"/>
        <n v="12988.35"/>
        <n v="12982.91"/>
        <n v="12912.72"/>
        <n v="12780.26"/>
        <n v="12769.01"/>
        <n v="12747.18"/>
        <n v="12733.25"/>
        <n v="12581.43"/>
        <n v="12554.88"/>
        <n v="12413.29"/>
        <n v="12235.4"/>
        <n v="12217.65"/>
        <n v="12126.49"/>
        <n v="12080.71"/>
        <n v="12027.49"/>
        <n v="11985.5"/>
        <n v="11859.36"/>
        <n v="11857.46"/>
        <n v="11791.85"/>
        <n v="11694.09"/>
        <n v="11683.27"/>
        <n v="11525.92"/>
        <n v="11437.13"/>
        <n v="11360.75"/>
        <n v="11231.99"/>
        <n v="11231.58"/>
        <n v="11217.34"/>
        <n v="11045.61"/>
        <n v="10909.83"/>
        <n v="10861.74"/>
        <n v="10800.18"/>
        <n v="10786.99"/>
        <n v="10732.53"/>
        <n v="10608.94"/>
        <n v="10551.62"/>
        <n v="10512.58"/>
        <n v="10458.459999999999"/>
        <n v="10439.129999999999"/>
        <n v="10367.41"/>
        <n v="10274.68"/>
        <n v="10233.49"/>
        <n v="10205.200000000001"/>
        <n v="10160.42"/>
        <n v="10157.959999999999"/>
        <n v="10134.68"/>
        <n v="10033.299999999999"/>
        <n v="9948.0400000000009"/>
        <n v="9946.06"/>
        <n v="9882.75"/>
        <n v="9878.7900000000009"/>
        <n v="9835.99"/>
        <n v="9824.6299999999992"/>
        <n v="9723.01"/>
        <n v="9631.8700000000008"/>
        <n v="9596.9699999999993"/>
        <n v="9593.2800000000007"/>
        <n v="9551.4"/>
        <n v="9443.32"/>
        <n v="9433.02"/>
        <n v="9360.35"/>
        <n v="9323.35"/>
        <n v="9247.14"/>
        <n v="9200.82"/>
        <n v="9196.61"/>
        <n v="9177.09"/>
        <n v="9075.1299999999992"/>
        <n v="9064.48"/>
        <n v="9018"/>
        <n v="8994.75"/>
        <n v="8949.2000000000007"/>
        <n v="8936.14"/>
        <n v="8883.66"/>
        <n v="8873.15"/>
        <n v="8850.1299999999992"/>
        <n v="8747.73"/>
        <n v="8659.8799999999992"/>
        <n v="8658.01"/>
        <n v="8621.3700000000008"/>
        <n v="8598.86"/>
        <n v="8590"/>
        <n v="8589.0400000000009"/>
        <n v="8587.2900000000009"/>
        <n v="8546.89"/>
        <n v="8497.23"/>
        <n v="8456.64"/>
        <n v="8428.8700000000008"/>
        <n v="8383.4"/>
        <n v="8378.81"/>
        <n v="8346.0499999999993"/>
        <n v="8295.36"/>
        <n v="8213.7800000000007"/>
        <n v="8172.47"/>
        <n v="8097.59"/>
        <n v="8058"/>
        <n v="8037.41"/>
        <n v="7989.38"/>
        <n v="7954.87"/>
        <n v="7949.51"/>
        <n v="7906.38"/>
        <n v="7870.47"/>
        <n v="7869.8"/>
        <n v="7863.97"/>
        <n v="7741.89"/>
        <n v="7736.18"/>
        <n v="7714.36"/>
        <n v="7678.38"/>
        <n v="7619.56"/>
        <n v="7560.38"/>
        <n v="7497.72"/>
        <n v="7490.78"/>
        <n v="7467"/>
        <n v="7448.94"/>
        <n v="7436.73"/>
        <n v="7408.52"/>
        <n v="7358.34"/>
        <n v="7218.07"/>
        <n v="7203.65"/>
        <n v="7196.15"/>
        <n v="7142.65"/>
        <n v="7139.43"/>
        <n v="7128"/>
        <n v="7125.58"/>
        <n v="7096.79"/>
        <n v="7085.76"/>
        <n v="7067.68"/>
        <n v="7020.79"/>
        <n v="6959.95"/>
        <n v="6936.53"/>
        <n v="6795.79"/>
        <n v="6786.98"/>
        <n v="6786.25"/>
        <n v="6764.53"/>
        <n v="6691.16"/>
        <n v="6688.71"/>
        <n v="6676.98"/>
        <n v="6585.83"/>
        <n v="6577.55"/>
        <n v="6568.94"/>
        <n v="6503.25"/>
        <n v="6483.52"/>
        <n v="6418.05"/>
        <n v="6410.5"/>
        <n v="6376.78"/>
        <n v="6342.16"/>
        <n v="6328.45"/>
        <n v="6267.15"/>
        <n v="6252.13"/>
        <n v="6251.9"/>
        <n v="6163.88"/>
        <n v="6153.95"/>
        <n v="6141.38"/>
        <n v="6135.84"/>
        <n v="6123.52"/>
        <n v="6100.96"/>
        <n v="6069.98"/>
        <n v="5926.77"/>
        <n v="5857.16"/>
        <n v="5824.3"/>
        <n v="5823.67"/>
        <n v="5819.66"/>
        <n v="5814.42"/>
        <n v="5746.71"/>
        <n v="5718.42"/>
        <n v="5686.67"/>
        <n v="5675.69"/>
        <n v="5651.24"/>
        <n v="5627.09"/>
        <n v="5611.92"/>
        <n v="5604.82"/>
        <n v="5590.01"/>
        <n v="5578.65"/>
        <n v="5503.36"/>
        <n v="5458.16"/>
        <n v="5446.89"/>
        <n v="5380.52"/>
        <n v="5303.29"/>
        <n v="5291.16"/>
        <n v="5276.15"/>
        <n v="5275.28"/>
        <n v="5247.38"/>
        <n v="5172.8"/>
        <n v="5144.32"/>
        <n v="5095.07"/>
        <n v="5043.29"/>
        <n v="5037.71"/>
        <n v="5009.82"/>
        <n v="4977.03"/>
        <n v="4976.8"/>
        <n v="4939.41"/>
        <n v="4903.53"/>
        <n v="4853.09"/>
        <n v="4798.99"/>
        <n v="4754.8999999999996"/>
        <n v="4716.76"/>
        <n v="4692.63"/>
        <n v="4668.38"/>
        <n v="4660.21"/>
        <n v="4610.22"/>
        <n v="4604.54"/>
        <n v="4594.7"/>
        <n v="4579.82"/>
        <n v="4578.54"/>
        <n v="4570.3599999999997"/>
        <n v="4553.2700000000004"/>
        <n v="4548.24"/>
        <n v="4526.59"/>
        <n v="4508.1499999999996"/>
        <n v="4480.28"/>
        <n v="4470.5200000000004"/>
        <n v="4441.71"/>
        <n v="4436.58"/>
        <n v="4387.53"/>
        <n v="4379.1099999999997"/>
        <n v="4293.09"/>
        <n v="4267.62"/>
        <n v="4247.1400000000003"/>
        <n v="4245.28"/>
        <n v="4231.3900000000003"/>
        <n v="4222.6099999999997"/>
        <n v="4147.22"/>
        <n v="4144.2700000000004"/>
        <n v="4141.2700000000004"/>
        <n v="4131.82"/>
        <n v="4115.24"/>
        <n v="4101.37"/>
        <n v="4052.9"/>
        <n v="3974.57"/>
        <n v="3964.63"/>
        <n v="3911.09"/>
        <n v="3886.46"/>
        <n v="3878.12"/>
        <n v="3871.96"/>
        <n v="3836.62"/>
        <n v="3818.7"/>
        <n v="3808.8"/>
        <n v="3800.28"/>
        <n v="3777.75"/>
        <n v="3768.9"/>
        <n v="3747.68"/>
        <n v="3732.85"/>
        <n v="3720.77"/>
        <n v="3716.14"/>
        <n v="3715.64"/>
        <n v="3713.29"/>
        <n v="3670.75"/>
        <n v="3664.05"/>
        <n v="3640.5"/>
        <n v="3582.95"/>
        <n v="3582.5"/>
        <n v="3577.96"/>
        <n v="3569.94"/>
        <n v="3568.13"/>
        <n v="3559.97"/>
        <n v="3546.67"/>
        <n v="3525.02"/>
        <n v="3519.57"/>
        <n v="3506.54"/>
        <n v="3502.9"/>
        <n v="3494.59"/>
        <n v="3490.87"/>
        <n v="3477.05"/>
        <n v="3463.74"/>
        <n v="3439.09"/>
        <n v="3429.41"/>
        <n v="3416.5"/>
        <n v="3408.07"/>
        <n v="3403.01"/>
        <n v="3384.93"/>
        <n v="3366.25"/>
        <n v="3353.81"/>
        <n v="3321.97"/>
        <n v="3319"/>
        <n v="3311.44"/>
        <n v="3304.28"/>
        <n v="3261.67"/>
        <n v="3257.91"/>
        <n v="3241.48"/>
        <n v="3215.88"/>
        <n v="3212.88"/>
        <n v="3173.43"/>
        <n v="3173.08"/>
        <n v="3172.42"/>
        <n v="3161.93"/>
        <n v="3161.42"/>
        <n v="3160.69"/>
        <n v="3155.93"/>
        <n v="3147.49"/>
        <n v="3126.6"/>
        <n v="3116.92"/>
        <n v="3113.16"/>
        <n v="3079.05"/>
        <n v="3048.51"/>
        <n v="2997.74"/>
        <n v="2991.89"/>
        <n v="2982.9"/>
        <n v="2970.59"/>
        <n v="2967.74"/>
        <n v="2936.2"/>
        <n v="2933.35"/>
        <n v="2919.4"/>
        <n v="2896"/>
        <n v="2889.99"/>
        <n v="2875.88"/>
        <n v="2875.69"/>
        <n v="2871.31"/>
        <n v="2864.78"/>
        <n v="2852.76"/>
        <n v="2850.64"/>
        <n v="2841.27"/>
        <n v="2837.13"/>
        <n v="2825.05"/>
        <n v="2811.4"/>
        <n v="2808.31"/>
        <n v="2801.27"/>
        <n v="2791.34"/>
        <n v="2776.85"/>
        <n v="2776.03"/>
        <n v="2748.11"/>
        <n v="2737.29"/>
        <n v="2736.43"/>
        <n v="2733.9"/>
        <n v="2701.81"/>
        <n v="2696.38"/>
        <n v="2683.08"/>
        <n v="2668.35"/>
        <n v="2667.73"/>
        <n v="2654.23"/>
        <n v="2653.9"/>
        <n v="2594.88"/>
        <n v="2593.77"/>
        <n v="2573.4299999999998"/>
        <n v="2569.92"/>
        <n v="2553.48"/>
        <n v="2540.85"/>
        <n v="2532.6"/>
        <n v="2529.5"/>
        <n v="2506.09"/>
        <n v="2500.94"/>
        <n v="2500"/>
        <n v="2499.9"/>
        <n v="2496.81"/>
        <n v="2494.4299999999998"/>
        <n v="2484.5"/>
        <n v="2458.04"/>
        <n v="2449.7600000000002"/>
        <n v="2445.54"/>
        <n v="2443.6999999999998"/>
        <n v="2440.14"/>
        <n v="2418.84"/>
        <n v="2402.7600000000002"/>
        <n v="2402.0700000000002"/>
        <n v="2386.84"/>
        <n v="2384.9299999999998"/>
        <n v="2384.7600000000002"/>
        <n v="2381.11"/>
        <n v="2373.88"/>
        <n v="2365.89"/>
        <n v="2349.9899999999998"/>
        <n v="2345"/>
        <n v="2336.9299999999998"/>
        <n v="2334.39"/>
        <n v="2310"/>
        <n v="2302.13"/>
        <n v="2301.6799999999998"/>
        <n v="2298.39"/>
        <n v="2257"/>
        <n v="2252.5300000000002"/>
        <n v="2245.1999999999998"/>
        <n v="2237.8000000000002"/>
        <n v="2214.39"/>
        <n v="2195.9"/>
        <n v="2185.89"/>
        <n v="2184.5100000000002"/>
        <n v="2179.63"/>
        <n v="2175.4699999999998"/>
        <n v="2171.08"/>
        <n v="2149.52"/>
        <n v="2148.6999999999998"/>
        <n v="2143.98"/>
        <n v="2135.69"/>
        <n v="2131.37"/>
        <n v="2130.1799999999998"/>
        <n v="2115.59"/>
        <n v="2113.37"/>
        <n v="2102.54"/>
        <n v="2093.25"/>
        <n v="2083.9"/>
        <n v="2081.5700000000002"/>
        <n v="2068.36"/>
        <n v="2061.88"/>
        <n v="2052.5100000000002"/>
        <n v="2049.9899999999998"/>
        <n v="2048.23"/>
        <n v="2047.09"/>
        <n v="2033.91"/>
        <n v="2023.04"/>
        <n v="2013.73"/>
        <n v="2004.74"/>
        <n v="2002.57"/>
        <n v="1999"/>
        <n v="1988"/>
        <n v="1985.57"/>
        <n v="1980.88"/>
        <n v="1979.88"/>
        <n v="1978.53"/>
        <n v="1974.88"/>
        <n v="1971.04"/>
        <n v="1969.6"/>
        <n v="1964.52"/>
        <n v="1960.74"/>
        <n v="1940.6"/>
        <n v="1916.88"/>
        <n v="1913.9"/>
        <n v="1901.03"/>
        <n v="1894.78"/>
        <n v="1890.22"/>
        <n v="1882.55"/>
        <n v="1864.15"/>
        <n v="1845.79"/>
        <n v="1812.17"/>
        <n v="1811.35"/>
        <n v="1804.93"/>
        <n v="1802.43"/>
        <n v="1800.1"/>
        <n v="1793.06"/>
        <n v="1766.66"/>
        <n v="1764.45"/>
        <n v="1733.37"/>
        <n v="1732.27"/>
        <n v="1731.99"/>
        <n v="1728"/>
        <n v="1720.05"/>
        <n v="1715.01"/>
        <n v="1714.8"/>
        <n v="1702.19"/>
        <n v="1694.2"/>
        <n v="1680.9"/>
        <n v="1677.46"/>
        <n v="1675.96"/>
        <n v="1670.49"/>
        <n v="1655.57"/>
        <n v="1654.96"/>
        <n v="1648.08"/>
        <n v="1639.8"/>
        <n v="1637.1"/>
        <n v="1635.26"/>
        <n v="1632.77"/>
        <n v="1626.19"/>
        <n v="1621.68"/>
        <n v="1614.27"/>
        <n v="1600.92"/>
        <n v="1594.85"/>
        <n v="1592.57"/>
        <n v="1585.88"/>
        <n v="1581.65"/>
        <n v="1574.9"/>
        <n v="1569.39"/>
        <n v="1545.18"/>
        <n v="1538.18"/>
        <n v="1537.9"/>
        <n v="1536.73"/>
        <n v="1528.9"/>
        <n v="1519.9"/>
        <n v="1515.63"/>
        <n v="1515.42"/>
        <n v="1513.02"/>
        <n v="1499.16"/>
        <n v="1486.7"/>
        <n v="1476.3"/>
        <n v="1475.69"/>
        <n v="1472.84"/>
        <n v="1470.88"/>
        <n v="1455.89"/>
        <n v="1455.79"/>
        <n v="1449.32"/>
        <n v="1448.97"/>
        <n v="1448.69"/>
        <n v="1447.49"/>
        <n v="1446.84"/>
        <n v="1439.9"/>
        <n v="1437"/>
        <n v="1432.6"/>
        <n v="1430.69"/>
        <n v="1428.14"/>
        <n v="1408"/>
        <n v="1405.66"/>
        <n v="1396.78"/>
        <n v="1392.45"/>
        <n v="1390.99"/>
        <n v="1389.6"/>
        <n v="1389.16"/>
        <n v="1386.58"/>
        <n v="1382.6"/>
        <n v="1381.6"/>
        <n v="1381.57"/>
        <n v="1380.58"/>
        <n v="1374.5"/>
        <n v="1366.54"/>
        <n v="1365.63"/>
        <n v="1362.6"/>
        <n v="1359.47"/>
        <n v="1353.05"/>
        <n v="1350.6"/>
        <n v="1341.65"/>
        <n v="1340"/>
        <n v="1331.53"/>
        <n v="1330.49"/>
        <n v="1323.8"/>
        <n v="1316.44"/>
        <n v="1302.32"/>
        <n v="1297.8"/>
        <n v="1291.3"/>
        <n v="1290.48"/>
        <n v="1275.75"/>
        <n v="1272"/>
        <n v="1271.33"/>
        <n v="1268.1199999999999"/>
        <n v="1267.48"/>
        <n v="1245.8900000000001"/>
        <n v="1244.72"/>
        <n v="1244.5999999999999"/>
        <n v="1233.1600000000001"/>
        <n v="1226.54"/>
        <n v="1221.42"/>
        <n v="1216.3900000000001"/>
        <n v="1207.8699999999999"/>
        <n v="1206.3"/>
        <n v="1202.43"/>
        <n v="1200"/>
        <n v="1197.78"/>
        <n v="1195"/>
        <n v="1191.33"/>
        <n v="1181.5999999999999"/>
        <n v="1176.31"/>
        <n v="1170.4000000000001"/>
        <n v="1165.97"/>
        <n v="1162.69"/>
        <n v="1151.07"/>
        <n v="1149.99"/>
        <n v="1141.04"/>
        <n v="1139.5899999999999"/>
        <n v="1138.5999999999999"/>
        <n v="1129.5999999999999"/>
        <n v="1120.96"/>
        <n v="1113.4000000000001"/>
        <n v="1110.5"/>
        <n v="1109.98"/>
        <n v="1106.8900000000001"/>
        <n v="1105.8399999999999"/>
        <n v="1103.96"/>
        <n v="1103"/>
        <n v="1100.29"/>
        <n v="1087.8599999999999"/>
        <n v="1085.94"/>
        <n v="1085.28"/>
        <n v="1073.44"/>
        <n v="1072.68"/>
        <n v="1071.3399999999999"/>
        <n v="1070.8"/>
        <n v="1069.98"/>
        <n v="1067.02"/>
        <n v="1066.49"/>
        <n v="1063.5899999999999"/>
        <n v="1061.28"/>
        <n v="1058.8900000000001"/>
        <n v="1053.07"/>
        <n v="1051.8800000000001"/>
        <n v="1050.6099999999999"/>
        <n v="1050"/>
        <n v="1042.4000000000001"/>
        <n v="1030.58"/>
        <n v="1026.79"/>
        <n v="1022.3"/>
        <n v="1022.29"/>
        <n v="1020.36"/>
        <n v="1019.99"/>
        <n v="1017.85"/>
        <n v="1016.98"/>
        <n v="1016.18"/>
        <n v="1012.98"/>
        <n v="1012.3"/>
        <n v="1010.83"/>
        <n v="1009.84"/>
        <n v="1007.8"/>
        <n v="999.36"/>
        <n v="995.54"/>
        <n v="991.41"/>
        <n v="988.87"/>
        <n v="985.66"/>
        <n v="985"/>
        <n v="975.53"/>
        <n v="975.23"/>
        <n v="970.4"/>
        <n v="967.37"/>
        <n v="963.69"/>
        <n v="960.8"/>
        <n v="959.99"/>
        <n v="959.25"/>
        <n v="954.18"/>
        <n v="944.59"/>
        <n v="940.89"/>
        <n v="939.8"/>
        <n v="928.94"/>
        <n v="913.56"/>
        <n v="907.79"/>
        <n v="906.25"/>
        <n v="904.98"/>
        <n v="902.89"/>
        <n v="902.7"/>
        <n v="898.95"/>
        <n v="898.8"/>
        <n v="898.12"/>
        <n v="891.91"/>
        <n v="884.95"/>
        <n v="882.63"/>
        <n v="874.3"/>
        <n v="873.38"/>
        <n v="870.99"/>
        <n v="868.72"/>
        <n v="859.9"/>
        <n v="854.75"/>
        <n v="851.7"/>
        <n v="851.5"/>
        <n v="846.44"/>
        <n v="832.86"/>
        <n v="828.78"/>
        <n v="821.58"/>
        <n v="820.6"/>
        <n v="815.79"/>
        <n v="812.69"/>
        <n v="803"/>
        <n v="793.64"/>
        <n v="788"/>
        <n v="786.48"/>
        <n v="781.89"/>
        <n v="780.3"/>
        <n v="779.9"/>
        <n v="769.69"/>
        <n v="766"/>
        <n v="754.45"/>
        <n v="753.4"/>
        <n v="750.1"/>
        <n v="750"/>
        <n v="749"/>
        <n v="747.44"/>
        <n v="744.06"/>
        <n v="742.8"/>
        <n v="739.77"/>
        <n v="734.4"/>
        <n v="733.88"/>
        <n v="731.87"/>
        <n v="729.79"/>
        <n v="729"/>
        <n v="728.77"/>
        <n v="727.82"/>
        <n v="725.84"/>
        <n v="723.9"/>
        <n v="723.6"/>
        <n v="721.56"/>
        <n v="720.52"/>
        <n v="714.48"/>
        <n v="714.28"/>
        <n v="713.76"/>
        <n v="710.82"/>
        <n v="703.21"/>
        <n v="701.4"/>
        <n v="699.99"/>
        <n v="698.99"/>
        <n v="697.84"/>
        <n v="687.8"/>
        <n v="685.9"/>
        <n v="683.33"/>
        <n v="681.2"/>
        <n v="675.99"/>
        <n v="672.8"/>
        <n v="672.28"/>
        <n v="672.01"/>
        <n v="671.8"/>
        <n v="669.5"/>
        <n v="668.75"/>
        <n v="668.07"/>
        <n v="667"/>
        <n v="665.37"/>
        <n v="662.24"/>
        <n v="660"/>
        <n v="657.69"/>
        <n v="655.01"/>
        <n v="653.48"/>
        <n v="650.54999999999995"/>
        <n v="649.99"/>
        <n v="648.59"/>
        <n v="643.08000000000004"/>
        <n v="640.99"/>
        <n v="638.88"/>
        <n v="638.79"/>
        <n v="638.70000000000005"/>
        <n v="635.96"/>
        <n v="633.79999999999995"/>
        <n v="632.49"/>
        <n v="630.75"/>
        <n v="630.59"/>
        <n v="629"/>
        <n v="626.03"/>
        <n v="622.4"/>
        <n v="612.5"/>
        <n v="609.70000000000005"/>
        <n v="607.54999999999995"/>
        <n v="603.54999999999995"/>
        <n v="602.98"/>
        <n v="602.33000000000004"/>
        <n v="599.9"/>
        <n v="599.6"/>
        <n v="599.5"/>
        <n v="599"/>
        <n v="590.99"/>
        <n v="589.99"/>
        <n v="589.9"/>
        <n v="589.70000000000005"/>
        <n v="585.79999999999995"/>
        <n v="579.66"/>
        <n v="578.79"/>
        <n v="578.54"/>
        <n v="577.99"/>
        <n v="576.44000000000005"/>
        <n v="574.98"/>
        <n v="574.16999999999996"/>
        <n v="568"/>
        <n v="567.70000000000005"/>
        <n v="565.79"/>
        <n v="561.49"/>
        <n v="559.99"/>
        <n v="558.6"/>
        <n v="558.35"/>
        <n v="555.4"/>
        <n v="550.41999999999996"/>
        <n v="550.09"/>
        <n v="546.41999999999996"/>
        <n v="546"/>
        <n v="542.4"/>
        <n v="541.79999999999995"/>
        <n v="540.98"/>
        <n v="540"/>
        <n v="533.79999999999995"/>
        <n v="530"/>
        <n v="528.99"/>
        <n v="528.9"/>
        <n v="528.6"/>
        <n v="526.89"/>
        <n v="525.97"/>
        <n v="521.5"/>
        <n v="520.17999999999995"/>
        <n v="519.88"/>
        <n v="513.99"/>
        <n v="513.05999999999995"/>
        <n v="511.99"/>
        <n v="511.08"/>
        <n v="510"/>
        <n v="506.93"/>
        <n v="505.8"/>
        <n v="498.89"/>
        <n v="495.6"/>
        <n v="494.9"/>
        <n v="494.89"/>
        <n v="494"/>
        <n v="491.23"/>
        <n v="490.78"/>
        <n v="490.49"/>
        <n v="489.8"/>
        <n v="488.78"/>
        <n v="487.89"/>
        <n v="487.55"/>
        <n v="485.16"/>
        <n v="484.9"/>
        <n v="478.5"/>
        <n v="475.68"/>
        <n v="472.88"/>
        <n v="469.8"/>
        <n v="468.9"/>
        <n v="468.07"/>
        <n v="468.01"/>
        <n v="468"/>
        <n v="466.5"/>
        <n v="465"/>
        <n v="457.7"/>
        <n v="456.78"/>
        <n v="452.9"/>
        <n v="452.6"/>
        <n v="448.8"/>
        <n v="446.16"/>
        <n v="445.8"/>
        <n v="442.3"/>
        <n v="441.9"/>
        <n v="441.79"/>
        <n v="439"/>
        <n v="438.67"/>
        <n v="435"/>
        <n v="434.25"/>
        <n v="428.99"/>
        <n v="423.3"/>
        <n v="422.8"/>
        <n v="422.19"/>
        <n v="419.06"/>
        <n v="418.8"/>
        <n v="410.7"/>
        <n v="409.8"/>
        <n v="409.78"/>
        <n v="409.57"/>
        <n v="409"/>
        <n v="408.69"/>
        <n v="399.4"/>
        <n v="398.46"/>
        <n v="397.8"/>
        <n v="390.8"/>
        <n v="387.05"/>
        <n v="385.57"/>
        <n v="384.98"/>
        <n v="384.26"/>
        <n v="382.89"/>
        <n v="374.79"/>
        <n v="372.45"/>
        <n v="369.79"/>
        <n v="368.42"/>
        <n v="367.2"/>
        <n v="367"/>
        <n v="364.87"/>
        <n v="361.79"/>
        <n v="361.7"/>
        <n v="359.6"/>
        <n v="358"/>
        <n v="356.05"/>
        <n v="350"/>
        <n v="349.8"/>
        <n v="348.9"/>
        <n v="348.69"/>
        <n v="346.6"/>
        <n v="346.42"/>
        <n v="344.56"/>
        <n v="339.9"/>
        <n v="332.3"/>
        <n v="331.39"/>
        <n v="330.7"/>
        <n v="328.7"/>
        <n v="326.70999999999998"/>
        <n v="318.98"/>
        <n v="317.60000000000002"/>
        <n v="314.85000000000002"/>
        <n v="314"/>
        <n v="313.39"/>
        <n v="311.2"/>
        <n v="311"/>
        <n v="310.79000000000002"/>
        <n v="310"/>
        <n v="309"/>
        <n v="308.60000000000002"/>
        <n v="308.5"/>
        <n v="305.76"/>
        <n v="304.77999999999997"/>
        <n v="303.88"/>
        <n v="301.29000000000002"/>
        <n v="300.3"/>
        <n v="299.89999999999998"/>
        <n v="299"/>
        <n v="297.83999999999997"/>
        <n v="297"/>
        <n v="295.60000000000002"/>
        <n v="293.89999999999998"/>
        <n v="293.60000000000002"/>
        <n v="293.27999999999997"/>
        <n v="292.37"/>
        <n v="291.86"/>
        <n v="291.5"/>
        <n v="289.89999999999998"/>
        <n v="289.7"/>
        <n v="289.49"/>
        <n v="281"/>
        <n v="280.31"/>
        <n v="279.97000000000003"/>
        <n v="279.68"/>
        <n v="277.8"/>
        <n v="276.89999999999998"/>
        <n v="276.8"/>
        <n v="276.14"/>
        <n v="274.95999999999998"/>
        <n v="274"/>
        <n v="271.79000000000002"/>
        <n v="270.95"/>
        <n v="270.8"/>
        <n v="269.98"/>
        <n v="268.77999999999997"/>
        <n v="266.98"/>
        <n v="266"/>
        <n v="265.58"/>
        <n v="264.89999999999998"/>
        <n v="262.89999999999998"/>
        <n v="261.58"/>
        <n v="258.89999999999998"/>
        <n v="256.89"/>
        <n v="255.6"/>
        <n v="252.45"/>
        <n v="252"/>
        <n v="250"/>
        <n v="249.8"/>
        <n v="249.7"/>
        <n v="249"/>
        <n v="248"/>
        <n v="246.2"/>
        <n v="245.98"/>
        <n v="245.25"/>
        <n v="244"/>
        <n v="239.99"/>
        <n v="239.7"/>
        <n v="237.65"/>
        <n v="234.9"/>
        <n v="234.79"/>
        <n v="234.2"/>
        <n v="232.94"/>
        <n v="231.2"/>
        <n v="231"/>
        <n v="230"/>
        <n v="229"/>
        <n v="228.7"/>
        <n v="226.9"/>
        <n v="225"/>
        <n v="221.98"/>
        <n v="219.9"/>
        <n v="219.8"/>
        <n v="219"/>
        <n v="215.56"/>
        <n v="215.28"/>
        <n v="210"/>
        <n v="208.9"/>
        <n v="208.8"/>
        <n v="206.55"/>
        <n v="205.9"/>
        <n v="204.8"/>
        <n v="204.6"/>
        <n v="201.9"/>
        <n v="199.96"/>
        <n v="199.7"/>
        <n v="199"/>
        <n v="198"/>
        <n v="196.65"/>
        <n v="194.9"/>
        <n v="190.9"/>
        <n v="190.8"/>
        <n v="190.16"/>
        <n v="190"/>
        <n v="189.9"/>
        <n v="189"/>
        <n v="184.8"/>
        <n v="184.69"/>
        <n v="183.29"/>
        <n v="181.7"/>
        <n v="180.99"/>
        <n v="180"/>
        <n v="179.99"/>
        <n v="179"/>
        <n v="175"/>
        <n v="173.75"/>
        <n v="172.54"/>
        <n v="171.69"/>
        <n v="170.85"/>
        <n v="169.98"/>
        <n v="169.89"/>
        <n v="169.79"/>
        <n v="169.75"/>
        <n v="163.69999999999999"/>
        <n v="159.80000000000001"/>
        <n v="159.6"/>
        <n v="159"/>
        <n v="153.6"/>
        <n v="152.99"/>
        <n v="152"/>
        <n v="150.47"/>
        <n v="150"/>
        <n v="149.99"/>
        <n v="149.9"/>
        <n v="149.69999999999999"/>
        <n v="148.88999999999999"/>
        <n v="148.63999999999999"/>
        <n v="148.28"/>
        <n v="147.5"/>
        <n v="146.15"/>
        <n v="145.88999999999999"/>
        <n v="144"/>
        <n v="143.75"/>
        <n v="143.63999999999999"/>
        <n v="140"/>
        <n v="139.9"/>
        <n v="138.9"/>
        <n v="137"/>
        <n v="136.88999999999999"/>
        <n v="136"/>
        <n v="135"/>
        <n v="133.9"/>
        <n v="132.80000000000001"/>
        <n v="129.99"/>
        <n v="129.97999999999999"/>
        <n v="129.9"/>
        <n v="129.80000000000001"/>
        <n v="129.49"/>
        <n v="129"/>
        <n v="126.22"/>
        <n v="125"/>
        <n v="124.89"/>
        <n v="121.99"/>
        <n v="120.79"/>
        <n v="120"/>
        <n v="119.99"/>
        <n v="119.9"/>
        <n v="119.7"/>
        <n v="119"/>
        <n v="118.89"/>
        <n v="116.9"/>
        <n v="115"/>
        <n v="110.99"/>
        <n v="110"/>
        <n v="109.99"/>
        <n v="109.8"/>
        <n v="105.79"/>
        <n v="105"/>
        <n v="104.5"/>
        <n v="103.99"/>
        <n v="102.89"/>
        <n v="100.43"/>
        <n v="100.37"/>
        <n v="100"/>
        <n v="99.99"/>
        <n v="99.95"/>
        <n v="99.9"/>
        <n v="99"/>
        <n v="98.99"/>
        <n v="97"/>
        <n v="96.29"/>
        <n v="94.9"/>
        <n v="94.89"/>
        <n v="93"/>
        <n v="90.7"/>
        <n v="90"/>
        <n v="89.99"/>
        <n v="89.9"/>
        <n v="89.89"/>
        <n v="89.88"/>
        <n v="89"/>
        <n v="88"/>
        <n v="87"/>
        <n v="86.9"/>
        <n v="85.95"/>
        <n v="85"/>
        <n v="80"/>
        <n v="79.989999999999995"/>
        <n v="79.900000000000006"/>
        <n v="79"/>
        <n v="77.900000000000006"/>
        <n v="77.89"/>
        <n v="77.8"/>
        <n v="77"/>
        <n v="75.599999999999994"/>
        <n v="75"/>
        <n v="72.98"/>
        <n v="69.989999999999995"/>
        <n v="69.98"/>
        <n v="69.900000000000006"/>
        <n v="69"/>
        <n v="66.900000000000006"/>
        <n v="65"/>
        <n v="64.900000000000006"/>
        <n v="64.599999999999994"/>
        <n v="64.5"/>
        <n v="62.8"/>
        <n v="62.5"/>
        <n v="61"/>
        <n v="60"/>
        <n v="59.9"/>
        <n v="59.89"/>
        <n v="59.8"/>
        <n v="58.95"/>
        <n v="58.35"/>
        <n v="54"/>
        <n v="51.6"/>
        <n v="50.8"/>
        <n v="50.35"/>
        <n v="50"/>
        <n v="49.99"/>
        <n v="49.98"/>
        <n v="49.9"/>
        <n v="49.8"/>
        <n v="48.9"/>
        <n v="48"/>
        <n v="47.49"/>
        <n v="47"/>
        <n v="44.99"/>
        <n v="44.8"/>
        <n v="44.5"/>
        <n v="44.06"/>
        <n v="43.8"/>
        <n v="43"/>
        <n v="39.99"/>
        <n v="39.9"/>
        <n v="38.700000000000003"/>
        <n v="38"/>
        <n v="36.9"/>
        <n v="35.9"/>
        <n v="35.6"/>
        <n v="34.99"/>
        <n v="34.799999999999997"/>
        <n v="32.99"/>
        <n v="32.9"/>
        <n v="31.2"/>
        <n v="29.99"/>
        <n v="29"/>
        <n v="27.9"/>
        <n v="27.3"/>
        <n v="27"/>
        <n v="25"/>
        <n v="24.99"/>
        <n v="24.95"/>
        <n v="24.9"/>
        <n v="19.989999999999998"/>
        <n v="19.899999999999999"/>
        <n v="19.829999999999998"/>
        <n v="19.489999999999998"/>
        <n v="18.600000000000001"/>
        <n v="18.45"/>
        <n v="16.899999999999999"/>
        <n v="16.100000000000001"/>
        <n v="15.49"/>
        <n v="12.9"/>
        <n v="6.8"/>
      </sharedItems>
    </cacheField>
    <cacheField name="order_count" numFmtId="0">
      <sharedItems containsSemiMixedTypes="0" containsString="0" containsNumber="1" containsInteger="1" minValue="1" maxValue="4405"/>
    </cacheField>
  </cacheFields>
  <extLst>
    <ext xmlns:x14="http://schemas.microsoft.com/office/spreadsheetml/2009/9/main" uri="{725AE2AE-9491-48be-B2B4-4EB974FC3084}">
      <x14:pivotCacheDefinition pivotCacheId="715640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ntuli" refreshedDate="46196.704019791665" createdVersion="8" refreshedVersion="8" minRefreshableVersion="3" recordCount="73" xr:uid="{72A5EA09-179B-4308-AE92-2C641E852C9F}">
  <cacheSource type="worksheet">
    <worksheetSource name="sales_per_category_202606221307"/>
  </cacheSource>
  <cacheFields count="4">
    <cacheField name="category" numFmtId="0">
      <sharedItems count="73">
        <s v="health_beauty"/>
        <s v="watches_gifts"/>
        <s v="bed_bath_table"/>
        <s v="sports_leisure"/>
        <s v="computers_accessories"/>
        <s v="furniture_decor"/>
        <s v="housewares"/>
        <s v="cool_stuff"/>
        <s v="auto"/>
        <s v="garden_tools"/>
        <s v="toys"/>
        <s v="baby"/>
        <s v="perfumery"/>
        <s v="telephony"/>
        <s v="office_furniture"/>
        <s v="stationery"/>
        <s v="computers"/>
        <s v="pet_shop"/>
        <s v="small_appliances"/>
        <s v="musical_instruments"/>
        <s v="uncategorized"/>
        <s v="electronics"/>
        <s v="consoles_games"/>
        <s v="fashion_bags_accessories"/>
        <s v="construction_tools_construction"/>
        <s v="luggage_accessories"/>
        <s v="home_appliances_2"/>
        <s v="home_construction"/>
        <s v="home_appliances"/>
        <s v="agro_industry_and_commerce"/>
        <s v="furniture_living_room"/>
        <s v="home_confort"/>
        <s v="fixed_telephony"/>
        <s v="air_conditioning"/>
        <s v="audio"/>
        <s v="small_appliances_home_oven_and_coffee"/>
        <s v="kitchen_dining_laundry_garden_furniture"/>
        <s v="books_general_interest"/>
        <s v="construction_tools_lights"/>
        <s v="industry_commerce_and_business"/>
        <s v="construction_tools_safety"/>
        <s v="food"/>
        <s v="market_place"/>
        <s v="costruction_tools_garden"/>
        <s v="art"/>
        <s v="fashion_shoes"/>
        <s v="drinks"/>
        <s v="signaling_and_security"/>
        <s v="furniture_bedroom"/>
        <s v="books_technical"/>
        <s v="costruction_tools_tools"/>
        <s v="food_drink"/>
        <s v="fashion_male_clothing"/>
        <s v="fashion_underwear_beach"/>
        <s v="christmas_supplies"/>
        <s v="tablets_printing_image"/>
        <s v="cine_photo"/>
        <s v="music"/>
        <s v="books_imported"/>
        <s v="dvds_blu_ray"/>
        <s v="party_supplies"/>
        <s v="furniture_mattress_and_upholstery"/>
        <s v="fashio_female_clothing"/>
        <s v="fashion_sport"/>
        <s v="la_cuisine"/>
        <s v="arts_and_craftmanship"/>
        <s v="diapers_and_hygiene"/>
        <s v="flowers"/>
        <s v="home_comfort_2"/>
        <s v="cds_dvds_musicals"/>
        <s v="fashion_childrens_clothes"/>
        <s v="security_and_services"/>
        <s v="other"/>
      </sharedItems>
    </cacheField>
    <cacheField name="total_price" numFmtId="0">
      <sharedItems containsSemiMixedTypes="0" containsString="0" containsNumber="1" minValue="283.29000000000002" maxValue="3195193.0000000014" count="73">
        <n v="1255695.1299999999"/>
        <n v="1198185.21"/>
        <n v="1035964.06"/>
        <n v="979740.92"/>
        <n v="904322.02"/>
        <n v="727465.05"/>
        <n v="626825.80000000005"/>
        <n v="620770.49"/>
        <n v="586585.73"/>
        <n v="481009.94"/>
        <n v="479808.54"/>
        <n v="410312.2"/>
        <n v="396599.31"/>
        <n v="322342.64"/>
        <n v="273580.7"/>
        <n v="229593.84"/>
        <n v="222963.13"/>
        <n v="213766.63"/>
        <n v="187907.26"/>
        <n v="187788.44"/>
        <n v="183813.13"/>
        <n v="157079.54"/>
        <n v="154927.26999999999"/>
        <n v="151622.75"/>
        <n v="144550.19"/>
        <n v="140111.38"/>
        <n v="110649.74"/>
        <n v="83010.12"/>
        <n v="80001.240000000005"/>
        <n v="72530.47"/>
        <n v="68638.559999999998"/>
        <n v="58572.04"/>
        <n v="57824.21"/>
        <n v="54723.16"/>
        <n v="50668.6"/>
        <n v="47445.71"/>
        <n v="46070.37"/>
        <n v="45622.29"/>
        <n v="40002"/>
        <n v="39669.61"/>
        <n v="39589.019999999997"/>
        <n v="29243.51"/>
        <n v="28288.47"/>
        <n v="25552.18"/>
        <n v="24167.64"/>
        <n v="23352.880000000001"/>
        <n v="22378.71"/>
        <n v="21509.23"/>
        <n v="20028.78"/>
        <n v="19096.060000000001"/>
        <n v="15903.95"/>
        <n v="15119.48"/>
        <n v="10748.82"/>
        <n v="9541.5499999999993"/>
        <n v="8787.83"/>
        <n v="7528.41"/>
        <n v="6933.46"/>
        <n v="6034.35"/>
        <n v="4639.8500000000004"/>
        <n v="4559.49"/>
        <n v="4485.18"/>
        <n v="4368.08"/>
        <n v="2803.64"/>
        <n v="2119.5100000000002"/>
        <n v="2054.9899999999998"/>
        <n v="1814.01"/>
        <n v="1538.79"/>
        <n v="1110.04"/>
        <n v="760.27"/>
        <n v="730"/>
        <n v="569.85"/>
        <n v="283.29000000000002"/>
        <n v="3195193.0000000014"/>
      </sharedItems>
    </cacheField>
    <cacheField name="total_freight_value" numFmtId="0">
      <sharedItems containsMixedTypes="1" containsNumber="1" minValue="41.22" maxValue="204422.07"/>
    </cacheField>
    <cacheField name="order_count" numFmtId="0">
      <sharedItems containsString="0" containsBlank="1" containsNumber="1" containsInteger="1" minValue="2" maxValue="9399"/>
    </cacheField>
  </cacheFields>
  <extLst>
    <ext xmlns:x14="http://schemas.microsoft.com/office/spreadsheetml/2009/9/main" uri="{725AE2AE-9491-48be-B2B4-4EB974FC3084}">
      <x14:pivotCacheDefinition pivotCacheId="13251173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ntuli" refreshedDate="46196.715469444447" createdVersion="8" refreshedVersion="8" minRefreshableVersion="3" recordCount="27" xr:uid="{620BDA65-DDAE-4508-A04C-7BCB131DF062}">
  <cacheSource type="worksheet">
    <worksheetSource name="sales_per_customer_region_202606221308"/>
  </cacheSource>
  <cacheFields count="3">
    <cacheField name="customer_state" numFmtId="0">
      <sharedItems count="27">
        <s v="SP"/>
        <s v="RJ"/>
        <s v="MG"/>
        <s v="RS"/>
        <s v="PR"/>
        <s v="SC"/>
        <s v="BA"/>
        <s v="DF"/>
        <s v="GO"/>
        <s v="ES"/>
        <s v="PE"/>
        <s v="CE"/>
        <s v="PA"/>
        <s v="MT"/>
        <s v="MA"/>
        <s v="MS"/>
        <s v="PB"/>
        <s v="PI"/>
        <s v="RN"/>
        <s v="AL"/>
        <s v="SE"/>
        <s v="TO"/>
        <s v="RO"/>
        <s v="AM"/>
        <s v="AC"/>
        <s v="AP"/>
        <s v="RR"/>
      </sharedItems>
    </cacheField>
    <cacheField name="total_price" numFmtId="0">
      <sharedItems containsSemiMixedTypes="0" containsString="0" containsNumber="1" minValue="7739.44" maxValue="5163867.22"/>
    </cacheField>
    <cacheField name="order_count" numFmtId="0">
      <sharedItems containsSemiMixedTypes="0" containsString="0" containsNumber="1" containsInteger="1" minValue="45" maxValue="411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ntuli" refreshedDate="46196.74312511574" createdVersion="8" refreshedVersion="8" minRefreshableVersion="3" recordCount="23" xr:uid="{BDE35A26-889F-4DAD-A73A-247151F2AA76}">
  <cacheSource type="worksheet">
    <worksheetSource name="sales_per_seller_region_202606221308"/>
  </cacheSource>
  <cacheFields count="3">
    <cacheField name="seller_state" numFmtId="0">
      <sharedItems count="23">
        <s v="SP"/>
        <s v="PR"/>
        <s v="MG"/>
        <s v="RJ"/>
        <s v="SC"/>
        <s v="RS"/>
        <s v="BA"/>
        <s v="DF"/>
        <s v="PE"/>
        <s v="GO"/>
        <s v="ES"/>
        <s v="MA"/>
        <s v="CE"/>
        <s v="PB"/>
        <s v="MT"/>
        <s v="RN"/>
        <s v="MS"/>
        <s v="RO"/>
        <s v="PI"/>
        <s v="SE"/>
        <s v="PA"/>
        <s v="AM"/>
        <s v="AC"/>
      </sharedItems>
    </cacheField>
    <cacheField name="total_price" numFmtId="0">
      <sharedItems containsSemiMixedTypes="0" containsString="0" containsNumber="1" minValue="267" maxValue="8687740.3499999996"/>
    </cacheField>
    <cacheField name="order_count" numFmtId="0">
      <sharedItems containsSemiMixedTypes="0" containsString="0" containsNumber="1" containsInteger="1" minValue="1" maxValue="6985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 ntuli" refreshedDate="46196.846008564811" createdVersion="8" refreshedVersion="8" minRefreshableVersion="3" recordCount="24" xr:uid="{D20B2956-2774-485B-B705-03C00155D6DA}">
  <cacheSource type="worksheet">
    <worksheetSource name="Monthly_Sales"/>
  </cacheSource>
  <cacheFields count="6">
    <cacheField name="Month" numFmtId="164">
      <sharedItems containsNonDate="0" containsDate="1" containsString="0" containsBlank="1" minDate="2016-09-01T00:00:00" maxDate="2018-08-02T00:00:00" count="24">
        <d v="2016-09-01T00:00:00"/>
        <d v="2016-10-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m/>
      </sharedItems>
      <fieldGroup par="5"/>
    </cacheField>
    <cacheField name="Total Revenue" numFmtId="3">
      <sharedItems containsString="0" containsBlank="1" containsNumber="1" minValue="10.9" maxValue="1003862.14" count="24">
        <n v="207.86"/>
        <n v="44507.3"/>
        <n v="10.9"/>
        <n v="120098.27"/>
        <n v="244959.35"/>
        <n v="368341.32"/>
        <n v="353842.98"/>
        <n v="503159.19"/>
        <n v="429916.61"/>
        <n v="492287.3"/>
        <n v="568245.79"/>
        <n v="621415.91"/>
        <n v="660179.62"/>
        <n v="1003862.14"/>
        <n v="742183.79"/>
        <n v="945456.29"/>
        <n v="837895.43"/>
        <n v="981051.06"/>
        <n v="993592.98"/>
        <n v="992871.75"/>
        <n v="863265.53"/>
        <n v="878044.27"/>
        <n v="848860.1"/>
        <m/>
      </sharedItems>
    </cacheField>
    <cacheField name="order_count" numFmtId="0">
      <sharedItems containsSemiMixedTypes="0" containsString="0" containsNumber="1" containsInteger="1" minValue="1" maxValue="7421"/>
    </cacheField>
    <cacheField name="Months (Month)" numFmtId="0" databaseField="0">
      <fieldGroup base="0">
        <rangePr groupBy="months" startDate="2016-09-01T00:00:00" endDate="2018-08-02T00:00:00"/>
        <groupItems count="14">
          <s v="&lt;01/09/2016"/>
          <s v="Jan"/>
          <s v="Feb"/>
          <s v="Mar"/>
          <s v="Apr"/>
          <s v="May"/>
          <s v="Jun"/>
          <s v="Jul"/>
          <s v="Aug"/>
          <s v="Sep"/>
          <s v="Oct"/>
          <s v="Nov"/>
          <s v="Dec"/>
          <s v="&gt;02/08/2018"/>
        </groupItems>
      </fieldGroup>
    </cacheField>
    <cacheField name="Quarters (Month)" numFmtId="0" databaseField="0">
      <fieldGroup base="0">
        <rangePr groupBy="quarters" startDate="2016-09-01T00:00:00" endDate="2018-08-02T00:00:00"/>
        <groupItems count="6">
          <s v="&lt;01/09/2016"/>
          <s v="Qtr1"/>
          <s v="Qtr2"/>
          <s v="Qtr3"/>
          <s v="Qtr4"/>
          <s v="&gt;02/08/2018"/>
        </groupItems>
      </fieldGroup>
    </cacheField>
    <cacheField name="Years (Month)" numFmtId="0" databaseField="0">
      <fieldGroup base="0">
        <rangePr groupBy="years" startDate="2016-09-01T00:00:00" endDate="2018-08-02T00:00:00"/>
        <groupItems count="5">
          <s v="&lt;01/09/2016"/>
          <s v="2016"/>
          <s v="2017"/>
          <s v="2018"/>
          <s v="&gt;02/08/2018"/>
        </groupItems>
      </fieldGroup>
    </cacheField>
  </cacheFields>
  <extLst>
    <ext xmlns:x14="http://schemas.microsoft.com/office/spreadsheetml/2009/9/main" uri="{725AE2AE-9491-48be-B2B4-4EB974FC3084}">
      <x14:pivotCacheDefinition pivotCacheId="962843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2">
  <r>
    <x v="0"/>
    <x v="0"/>
    <x v="0"/>
    <n v="4405"/>
  </r>
  <r>
    <x v="1"/>
    <x v="0"/>
    <x v="1"/>
    <n v="3767"/>
  </r>
  <r>
    <x v="2"/>
    <x v="0"/>
    <x v="2"/>
    <n v="2124"/>
  </r>
  <r>
    <x v="3"/>
    <x v="0"/>
    <x v="3"/>
    <n v="3268"/>
  </r>
  <r>
    <x v="4"/>
    <x v="0"/>
    <x v="4"/>
    <n v="2662"/>
  </r>
  <r>
    <x v="5"/>
    <x v="0"/>
    <x v="5"/>
    <n v="2710"/>
  </r>
  <r>
    <x v="6"/>
    <x v="0"/>
    <x v="6"/>
    <n v="2762"/>
  </r>
  <r>
    <x v="7"/>
    <x v="0"/>
    <x v="7"/>
    <n v="1308"/>
  </r>
  <r>
    <x v="8"/>
    <x v="0"/>
    <x v="8"/>
    <n v="1604"/>
  </r>
  <r>
    <x v="2"/>
    <x v="1"/>
    <x v="9"/>
    <n v="815"/>
  </r>
  <r>
    <x v="9"/>
    <x v="0"/>
    <x v="10"/>
    <n v="1593"/>
  </r>
  <r>
    <x v="10"/>
    <x v="0"/>
    <x v="11"/>
    <n v="1361"/>
  </r>
  <r>
    <x v="1"/>
    <x v="2"/>
    <x v="12"/>
    <n v="1009"/>
  </r>
  <r>
    <x v="11"/>
    <x v="0"/>
    <x v="13"/>
    <n v="1170"/>
  </r>
  <r>
    <x v="12"/>
    <x v="0"/>
    <x v="14"/>
    <n v="1261"/>
  </r>
  <r>
    <x v="0"/>
    <x v="1"/>
    <x v="15"/>
    <n v="1391"/>
  </r>
  <r>
    <x v="1"/>
    <x v="1"/>
    <x v="16"/>
    <n v="969"/>
  </r>
  <r>
    <x v="0"/>
    <x v="2"/>
    <x v="17"/>
    <n v="1127"/>
  </r>
  <r>
    <x v="3"/>
    <x v="1"/>
    <x v="18"/>
    <n v="921"/>
  </r>
  <r>
    <x v="2"/>
    <x v="2"/>
    <x v="19"/>
    <n v="609"/>
  </r>
  <r>
    <x v="4"/>
    <x v="1"/>
    <x v="20"/>
    <n v="856"/>
  </r>
  <r>
    <x v="3"/>
    <x v="2"/>
    <x v="21"/>
    <n v="864"/>
  </r>
  <r>
    <x v="4"/>
    <x v="2"/>
    <x v="22"/>
    <n v="871"/>
  </r>
  <r>
    <x v="13"/>
    <x v="0"/>
    <x v="23"/>
    <n v="510"/>
  </r>
  <r>
    <x v="14"/>
    <x v="0"/>
    <x v="24"/>
    <n v="1516"/>
  </r>
  <r>
    <x v="5"/>
    <x v="1"/>
    <x v="25"/>
    <n v="852"/>
  </r>
  <r>
    <x v="15"/>
    <x v="0"/>
    <x v="26"/>
    <n v="979"/>
  </r>
  <r>
    <x v="16"/>
    <x v="0"/>
    <x v="27"/>
    <n v="769"/>
  </r>
  <r>
    <x v="7"/>
    <x v="1"/>
    <x v="28"/>
    <n v="500"/>
  </r>
  <r>
    <x v="5"/>
    <x v="2"/>
    <x v="29"/>
    <n v="725"/>
  </r>
  <r>
    <x v="6"/>
    <x v="1"/>
    <x v="30"/>
    <n v="739"/>
  </r>
  <r>
    <x v="6"/>
    <x v="2"/>
    <x v="31"/>
    <n v="696"/>
  </r>
  <r>
    <x v="9"/>
    <x v="1"/>
    <x v="32"/>
    <n v="546"/>
  </r>
  <r>
    <x v="12"/>
    <x v="1"/>
    <x v="33"/>
    <n v="548"/>
  </r>
  <r>
    <x v="8"/>
    <x v="2"/>
    <x v="34"/>
    <n v="467"/>
  </r>
  <r>
    <x v="7"/>
    <x v="2"/>
    <x v="35"/>
    <n v="432"/>
  </r>
  <r>
    <x v="17"/>
    <x v="0"/>
    <x v="36"/>
    <n v="275"/>
  </r>
  <r>
    <x v="18"/>
    <x v="0"/>
    <x v="37"/>
    <n v="249"/>
  </r>
  <r>
    <x v="19"/>
    <x v="0"/>
    <x v="38"/>
    <n v="588"/>
  </r>
  <r>
    <x v="8"/>
    <x v="1"/>
    <x v="39"/>
    <n v="412"/>
  </r>
  <r>
    <x v="20"/>
    <x v="0"/>
    <x v="40"/>
    <n v="456"/>
  </r>
  <r>
    <x v="21"/>
    <x v="0"/>
    <x v="41"/>
    <n v="50"/>
  </r>
  <r>
    <x v="22"/>
    <x v="0"/>
    <x v="42"/>
    <n v="335"/>
  </r>
  <r>
    <x v="12"/>
    <x v="2"/>
    <x v="43"/>
    <n v="487"/>
  </r>
  <r>
    <x v="0"/>
    <x v="3"/>
    <x v="44"/>
    <n v="540"/>
  </r>
  <r>
    <x v="2"/>
    <x v="4"/>
    <x v="45"/>
    <n v="273"/>
  </r>
  <r>
    <x v="9"/>
    <x v="2"/>
    <x v="46"/>
    <n v="458"/>
  </r>
  <r>
    <x v="3"/>
    <x v="4"/>
    <x v="47"/>
    <n v="426"/>
  </r>
  <r>
    <x v="23"/>
    <x v="0"/>
    <x v="48"/>
    <n v="778"/>
  </r>
  <r>
    <x v="24"/>
    <x v="0"/>
    <x v="49"/>
    <n v="418"/>
  </r>
  <r>
    <x v="1"/>
    <x v="4"/>
    <x v="50"/>
    <n v="381"/>
  </r>
  <r>
    <x v="5"/>
    <x v="3"/>
    <x v="51"/>
    <n v="444"/>
  </r>
  <r>
    <x v="3"/>
    <x v="3"/>
    <x v="52"/>
    <n v="420"/>
  </r>
  <r>
    <x v="10"/>
    <x v="1"/>
    <x v="53"/>
    <n v="410"/>
  </r>
  <r>
    <x v="4"/>
    <x v="3"/>
    <x v="54"/>
    <n v="390"/>
  </r>
  <r>
    <x v="25"/>
    <x v="0"/>
    <x v="55"/>
    <n v="934"/>
  </r>
  <r>
    <x v="1"/>
    <x v="3"/>
    <x v="56"/>
    <n v="395"/>
  </r>
  <r>
    <x v="1"/>
    <x v="5"/>
    <x v="57"/>
    <n v="328"/>
  </r>
  <r>
    <x v="5"/>
    <x v="4"/>
    <x v="58"/>
    <n v="397"/>
  </r>
  <r>
    <x v="2"/>
    <x v="5"/>
    <x v="59"/>
    <n v="221"/>
  </r>
  <r>
    <x v="2"/>
    <x v="3"/>
    <x v="60"/>
    <n v="227"/>
  </r>
  <r>
    <x v="11"/>
    <x v="2"/>
    <x v="61"/>
    <n v="344"/>
  </r>
  <r>
    <x v="10"/>
    <x v="2"/>
    <x v="62"/>
    <n v="374"/>
  </r>
  <r>
    <x v="13"/>
    <x v="1"/>
    <x v="63"/>
    <n v="216"/>
  </r>
  <r>
    <x v="0"/>
    <x v="4"/>
    <x v="64"/>
    <n v="401"/>
  </r>
  <r>
    <x v="7"/>
    <x v="3"/>
    <x v="65"/>
    <n v="253"/>
  </r>
  <r>
    <x v="4"/>
    <x v="4"/>
    <x v="66"/>
    <n v="335"/>
  </r>
  <r>
    <x v="3"/>
    <x v="6"/>
    <x v="67"/>
    <n v="314"/>
  </r>
  <r>
    <x v="11"/>
    <x v="1"/>
    <x v="68"/>
    <n v="345"/>
  </r>
  <r>
    <x v="1"/>
    <x v="7"/>
    <x v="69"/>
    <n v="226"/>
  </r>
  <r>
    <x v="1"/>
    <x v="6"/>
    <x v="70"/>
    <n v="284"/>
  </r>
  <r>
    <x v="6"/>
    <x v="3"/>
    <x v="71"/>
    <n v="349"/>
  </r>
  <r>
    <x v="14"/>
    <x v="1"/>
    <x v="72"/>
    <n v="406"/>
  </r>
  <r>
    <x v="3"/>
    <x v="5"/>
    <x v="73"/>
    <n v="256"/>
  </r>
  <r>
    <x v="4"/>
    <x v="6"/>
    <x v="74"/>
    <n v="266"/>
  </r>
  <r>
    <x v="7"/>
    <x v="4"/>
    <x v="75"/>
    <n v="203"/>
  </r>
  <r>
    <x v="14"/>
    <x v="2"/>
    <x v="76"/>
    <n v="459"/>
  </r>
  <r>
    <x v="12"/>
    <x v="3"/>
    <x v="77"/>
    <n v="231"/>
  </r>
  <r>
    <x v="26"/>
    <x v="0"/>
    <x v="78"/>
    <n v="203"/>
  </r>
  <r>
    <x v="27"/>
    <x v="0"/>
    <x v="79"/>
    <n v="343"/>
  </r>
  <r>
    <x v="4"/>
    <x v="5"/>
    <x v="80"/>
    <n v="221"/>
  </r>
  <r>
    <x v="2"/>
    <x v="6"/>
    <x v="81"/>
    <n v="164"/>
  </r>
  <r>
    <x v="28"/>
    <x v="0"/>
    <x v="82"/>
    <n v="88"/>
  </r>
  <r>
    <x v="15"/>
    <x v="1"/>
    <x v="83"/>
    <n v="302"/>
  </r>
  <r>
    <x v="2"/>
    <x v="8"/>
    <x v="84"/>
    <n v="143"/>
  </r>
  <r>
    <x v="1"/>
    <x v="9"/>
    <x v="85"/>
    <n v="156"/>
  </r>
  <r>
    <x v="2"/>
    <x v="10"/>
    <x v="86"/>
    <n v="142"/>
  </r>
  <r>
    <x v="5"/>
    <x v="6"/>
    <x v="87"/>
    <n v="276"/>
  </r>
  <r>
    <x v="16"/>
    <x v="2"/>
    <x v="88"/>
    <n v="222"/>
  </r>
  <r>
    <x v="6"/>
    <x v="4"/>
    <x v="89"/>
    <n v="282"/>
  </r>
  <r>
    <x v="0"/>
    <x v="6"/>
    <x v="90"/>
    <n v="272"/>
  </r>
  <r>
    <x v="2"/>
    <x v="7"/>
    <x v="91"/>
    <n v="146"/>
  </r>
  <r>
    <x v="11"/>
    <x v="3"/>
    <x v="92"/>
    <n v="200"/>
  </r>
  <r>
    <x v="1"/>
    <x v="8"/>
    <x v="93"/>
    <n v="223"/>
  </r>
  <r>
    <x v="8"/>
    <x v="5"/>
    <x v="94"/>
    <n v="148"/>
  </r>
  <r>
    <x v="17"/>
    <x v="1"/>
    <x v="95"/>
    <n v="85"/>
  </r>
  <r>
    <x v="2"/>
    <x v="11"/>
    <x v="96"/>
    <n v="145"/>
  </r>
  <r>
    <x v="2"/>
    <x v="9"/>
    <x v="97"/>
    <n v="129"/>
  </r>
  <r>
    <x v="9"/>
    <x v="3"/>
    <x v="98"/>
    <n v="203"/>
  </r>
  <r>
    <x v="28"/>
    <x v="1"/>
    <x v="99"/>
    <n v="45"/>
  </r>
  <r>
    <x v="7"/>
    <x v="6"/>
    <x v="100"/>
    <n v="148"/>
  </r>
  <r>
    <x v="1"/>
    <x v="10"/>
    <x v="101"/>
    <n v="208"/>
  </r>
  <r>
    <x v="13"/>
    <x v="2"/>
    <x v="102"/>
    <n v="134"/>
  </r>
  <r>
    <x v="8"/>
    <x v="6"/>
    <x v="103"/>
    <n v="163"/>
  </r>
  <r>
    <x v="29"/>
    <x v="0"/>
    <x v="104"/>
    <n v="184"/>
  </r>
  <r>
    <x v="8"/>
    <x v="4"/>
    <x v="105"/>
    <n v="206"/>
  </r>
  <r>
    <x v="6"/>
    <x v="6"/>
    <x v="106"/>
    <n v="223"/>
  </r>
  <r>
    <x v="18"/>
    <x v="2"/>
    <x v="107"/>
    <n v="69"/>
  </r>
  <r>
    <x v="25"/>
    <x v="1"/>
    <x v="108"/>
    <n v="400"/>
  </r>
  <r>
    <x v="8"/>
    <x v="3"/>
    <x v="109"/>
    <n v="175"/>
  </r>
  <r>
    <x v="30"/>
    <x v="0"/>
    <x v="110"/>
    <n v="85"/>
  </r>
  <r>
    <x v="0"/>
    <x v="5"/>
    <x v="111"/>
    <n v="221"/>
  </r>
  <r>
    <x v="16"/>
    <x v="1"/>
    <x v="112"/>
    <n v="197"/>
  </r>
  <r>
    <x v="15"/>
    <x v="2"/>
    <x v="113"/>
    <n v="242"/>
  </r>
  <r>
    <x v="12"/>
    <x v="5"/>
    <x v="114"/>
    <n v="145"/>
  </r>
  <r>
    <x v="4"/>
    <x v="8"/>
    <x v="115"/>
    <n v="135"/>
  </r>
  <r>
    <x v="9"/>
    <x v="4"/>
    <x v="116"/>
    <n v="200"/>
  </r>
  <r>
    <x v="19"/>
    <x v="1"/>
    <x v="117"/>
    <n v="200"/>
  </r>
  <r>
    <x v="31"/>
    <x v="0"/>
    <x v="118"/>
    <n v="123"/>
  </r>
  <r>
    <x v="12"/>
    <x v="6"/>
    <x v="119"/>
    <n v="145"/>
  </r>
  <r>
    <x v="1"/>
    <x v="12"/>
    <x v="120"/>
    <n v="101"/>
  </r>
  <r>
    <x v="5"/>
    <x v="5"/>
    <x v="121"/>
    <n v="202"/>
  </r>
  <r>
    <x v="32"/>
    <x v="0"/>
    <x v="122"/>
    <n v="161"/>
  </r>
  <r>
    <x v="21"/>
    <x v="1"/>
    <x v="123"/>
    <n v="22"/>
  </r>
  <r>
    <x v="23"/>
    <x v="2"/>
    <x v="124"/>
    <n v="246"/>
  </r>
  <r>
    <x v="3"/>
    <x v="8"/>
    <x v="125"/>
    <n v="192"/>
  </r>
  <r>
    <x v="24"/>
    <x v="2"/>
    <x v="126"/>
    <n v="176"/>
  </r>
  <r>
    <x v="0"/>
    <x v="11"/>
    <x v="127"/>
    <n v="199"/>
  </r>
  <r>
    <x v="0"/>
    <x v="10"/>
    <x v="128"/>
    <n v="192"/>
  </r>
  <r>
    <x v="2"/>
    <x v="12"/>
    <x v="129"/>
    <n v="74"/>
  </r>
  <r>
    <x v="33"/>
    <x v="0"/>
    <x v="130"/>
    <n v="115"/>
  </r>
  <r>
    <x v="11"/>
    <x v="4"/>
    <x v="131"/>
    <n v="152"/>
  </r>
  <r>
    <x v="14"/>
    <x v="5"/>
    <x v="132"/>
    <n v="229"/>
  </r>
  <r>
    <x v="22"/>
    <x v="1"/>
    <x v="133"/>
    <n v="105"/>
  </r>
  <r>
    <x v="21"/>
    <x v="5"/>
    <x v="134"/>
    <n v="19"/>
  </r>
  <r>
    <x v="7"/>
    <x v="5"/>
    <x v="135"/>
    <n v="137"/>
  </r>
  <r>
    <x v="21"/>
    <x v="2"/>
    <x v="136"/>
    <n v="18"/>
  </r>
  <r>
    <x v="25"/>
    <x v="2"/>
    <x v="137"/>
    <n v="259"/>
  </r>
  <r>
    <x v="12"/>
    <x v="4"/>
    <x v="138"/>
    <n v="173"/>
  </r>
  <r>
    <x v="18"/>
    <x v="1"/>
    <x v="139"/>
    <n v="75"/>
  </r>
  <r>
    <x v="10"/>
    <x v="3"/>
    <x v="140"/>
    <n v="145"/>
  </r>
  <r>
    <x v="3"/>
    <x v="7"/>
    <x v="141"/>
    <n v="134"/>
  </r>
  <r>
    <x v="1"/>
    <x v="11"/>
    <x v="142"/>
    <n v="153"/>
  </r>
  <r>
    <x v="3"/>
    <x v="11"/>
    <x v="143"/>
    <n v="156"/>
  </r>
  <r>
    <x v="20"/>
    <x v="2"/>
    <x v="144"/>
    <n v="122"/>
  </r>
  <r>
    <x v="3"/>
    <x v="10"/>
    <x v="145"/>
    <n v="151"/>
  </r>
  <r>
    <x v="19"/>
    <x v="2"/>
    <x v="146"/>
    <n v="175"/>
  </r>
  <r>
    <x v="34"/>
    <x v="0"/>
    <x v="147"/>
    <n v="213"/>
  </r>
  <r>
    <x v="14"/>
    <x v="3"/>
    <x v="148"/>
    <n v="251"/>
  </r>
  <r>
    <x v="35"/>
    <x v="0"/>
    <x v="149"/>
    <n v="115"/>
  </r>
  <r>
    <x v="22"/>
    <x v="2"/>
    <x v="150"/>
    <n v="99"/>
  </r>
  <r>
    <x v="7"/>
    <x v="10"/>
    <x v="151"/>
    <n v="85"/>
  </r>
  <r>
    <x v="36"/>
    <x v="1"/>
    <x v="152"/>
    <n v="25"/>
  </r>
  <r>
    <x v="37"/>
    <x v="0"/>
    <x v="153"/>
    <n v="109"/>
  </r>
  <r>
    <x v="38"/>
    <x v="0"/>
    <x v="154"/>
    <n v="138"/>
  </r>
  <r>
    <x v="8"/>
    <x v="8"/>
    <x v="155"/>
    <n v="104"/>
  </r>
  <r>
    <x v="17"/>
    <x v="2"/>
    <x v="156"/>
    <n v="60"/>
  </r>
  <r>
    <x v="6"/>
    <x v="5"/>
    <x v="157"/>
    <n v="143"/>
  </r>
  <r>
    <x v="11"/>
    <x v="6"/>
    <x v="158"/>
    <n v="97"/>
  </r>
  <r>
    <x v="20"/>
    <x v="1"/>
    <x v="159"/>
    <n v="130"/>
  </r>
  <r>
    <x v="32"/>
    <x v="1"/>
    <x v="160"/>
    <n v="96"/>
  </r>
  <r>
    <x v="39"/>
    <x v="0"/>
    <x v="161"/>
    <n v="34"/>
  </r>
  <r>
    <x v="33"/>
    <x v="1"/>
    <x v="162"/>
    <n v="60"/>
  </r>
  <r>
    <x v="0"/>
    <x v="8"/>
    <x v="163"/>
    <n v="173"/>
  </r>
  <r>
    <x v="23"/>
    <x v="1"/>
    <x v="164"/>
    <n v="185"/>
  </r>
  <r>
    <x v="1"/>
    <x v="13"/>
    <x v="165"/>
    <n v="77"/>
  </r>
  <r>
    <x v="10"/>
    <x v="4"/>
    <x v="166"/>
    <n v="138"/>
  </r>
  <r>
    <x v="13"/>
    <x v="4"/>
    <x v="167"/>
    <n v="55"/>
  </r>
  <r>
    <x v="9"/>
    <x v="6"/>
    <x v="168"/>
    <n v="114"/>
  </r>
  <r>
    <x v="36"/>
    <x v="0"/>
    <x v="169"/>
    <n v="96"/>
  </r>
  <r>
    <x v="11"/>
    <x v="5"/>
    <x v="170"/>
    <n v="95"/>
  </r>
  <r>
    <x v="40"/>
    <x v="0"/>
    <x v="171"/>
    <n v="245"/>
  </r>
  <r>
    <x v="17"/>
    <x v="3"/>
    <x v="172"/>
    <n v="39"/>
  </r>
  <r>
    <x v="1"/>
    <x v="14"/>
    <x v="173"/>
    <n v="84"/>
  </r>
  <r>
    <x v="12"/>
    <x v="10"/>
    <x v="174"/>
    <n v="75"/>
  </r>
  <r>
    <x v="24"/>
    <x v="1"/>
    <x v="175"/>
    <n v="116"/>
  </r>
  <r>
    <x v="2"/>
    <x v="14"/>
    <x v="176"/>
    <n v="59"/>
  </r>
  <r>
    <x v="41"/>
    <x v="0"/>
    <x v="177"/>
    <n v="94"/>
  </r>
  <r>
    <x v="6"/>
    <x v="10"/>
    <x v="178"/>
    <n v="101"/>
  </r>
  <r>
    <x v="9"/>
    <x v="5"/>
    <x v="179"/>
    <n v="115"/>
  </r>
  <r>
    <x v="4"/>
    <x v="11"/>
    <x v="180"/>
    <n v="138"/>
  </r>
  <r>
    <x v="7"/>
    <x v="7"/>
    <x v="181"/>
    <n v="73"/>
  </r>
  <r>
    <x v="13"/>
    <x v="5"/>
    <x v="182"/>
    <n v="61"/>
  </r>
  <r>
    <x v="42"/>
    <x v="0"/>
    <x v="183"/>
    <n v="55"/>
  </r>
  <r>
    <x v="10"/>
    <x v="6"/>
    <x v="184"/>
    <n v="108"/>
  </r>
  <r>
    <x v="1"/>
    <x v="15"/>
    <x v="185"/>
    <n v="57"/>
  </r>
  <r>
    <x v="4"/>
    <x v="10"/>
    <x v="186"/>
    <n v="111"/>
  </r>
  <r>
    <x v="2"/>
    <x v="13"/>
    <x v="187"/>
    <n v="43"/>
  </r>
  <r>
    <x v="14"/>
    <x v="4"/>
    <x v="188"/>
    <n v="226"/>
  </r>
  <r>
    <x v="6"/>
    <x v="8"/>
    <x v="189"/>
    <n v="123"/>
  </r>
  <r>
    <x v="4"/>
    <x v="7"/>
    <x v="190"/>
    <n v="100"/>
  </r>
  <r>
    <x v="5"/>
    <x v="11"/>
    <x v="191"/>
    <n v="114"/>
  </r>
  <r>
    <x v="1"/>
    <x v="16"/>
    <x v="192"/>
    <n v="63"/>
  </r>
  <r>
    <x v="15"/>
    <x v="3"/>
    <x v="193"/>
    <n v="137"/>
  </r>
  <r>
    <x v="1"/>
    <x v="17"/>
    <x v="194"/>
    <n v="83"/>
  </r>
  <r>
    <x v="3"/>
    <x v="12"/>
    <x v="195"/>
    <n v="76"/>
  </r>
  <r>
    <x v="4"/>
    <x v="17"/>
    <x v="196"/>
    <n v="65"/>
  </r>
  <r>
    <x v="5"/>
    <x v="10"/>
    <x v="197"/>
    <n v="104"/>
  </r>
  <r>
    <x v="7"/>
    <x v="8"/>
    <x v="198"/>
    <n v="79"/>
  </r>
  <r>
    <x v="7"/>
    <x v="9"/>
    <x v="199"/>
    <n v="48"/>
  </r>
  <r>
    <x v="4"/>
    <x v="9"/>
    <x v="200"/>
    <n v="84"/>
  </r>
  <r>
    <x v="30"/>
    <x v="2"/>
    <x v="201"/>
    <n v="14"/>
  </r>
  <r>
    <x v="5"/>
    <x v="8"/>
    <x v="202"/>
    <n v="109"/>
  </r>
  <r>
    <x v="14"/>
    <x v="6"/>
    <x v="203"/>
    <n v="164"/>
  </r>
  <r>
    <x v="8"/>
    <x v="9"/>
    <x v="204"/>
    <n v="54"/>
  </r>
  <r>
    <x v="8"/>
    <x v="11"/>
    <x v="205"/>
    <n v="81"/>
  </r>
  <r>
    <x v="8"/>
    <x v="7"/>
    <x v="206"/>
    <n v="80"/>
  </r>
  <r>
    <x v="9"/>
    <x v="8"/>
    <x v="207"/>
    <n v="91"/>
  </r>
  <r>
    <x v="4"/>
    <x v="12"/>
    <x v="208"/>
    <n v="84"/>
  </r>
  <r>
    <x v="2"/>
    <x v="16"/>
    <x v="209"/>
    <n v="35"/>
  </r>
  <r>
    <x v="6"/>
    <x v="11"/>
    <x v="210"/>
    <n v="102"/>
  </r>
  <r>
    <x v="17"/>
    <x v="8"/>
    <x v="211"/>
    <n v="23"/>
  </r>
  <r>
    <x v="8"/>
    <x v="10"/>
    <x v="212"/>
    <n v="75"/>
  </r>
  <r>
    <x v="15"/>
    <x v="4"/>
    <x v="213"/>
    <n v="121"/>
  </r>
  <r>
    <x v="1"/>
    <x v="18"/>
    <x v="214"/>
    <n v="57"/>
  </r>
  <r>
    <x v="17"/>
    <x v="4"/>
    <x v="215"/>
    <n v="39"/>
  </r>
  <r>
    <x v="16"/>
    <x v="3"/>
    <x v="216"/>
    <n v="84"/>
  </r>
  <r>
    <x v="7"/>
    <x v="11"/>
    <x v="217"/>
    <n v="63"/>
  </r>
  <r>
    <x v="6"/>
    <x v="18"/>
    <x v="218"/>
    <n v="34"/>
  </r>
  <r>
    <x v="28"/>
    <x v="3"/>
    <x v="219"/>
    <n v="12"/>
  </r>
  <r>
    <x v="21"/>
    <x v="8"/>
    <x v="220"/>
    <n v="6"/>
  </r>
  <r>
    <x v="12"/>
    <x v="11"/>
    <x v="221"/>
    <n v="85"/>
  </r>
  <r>
    <x v="14"/>
    <x v="7"/>
    <x v="222"/>
    <n v="122"/>
  </r>
  <r>
    <x v="3"/>
    <x v="9"/>
    <x v="223"/>
    <n v="89"/>
  </r>
  <r>
    <x v="13"/>
    <x v="3"/>
    <x v="224"/>
    <n v="56"/>
  </r>
  <r>
    <x v="9"/>
    <x v="11"/>
    <x v="225"/>
    <n v="92"/>
  </r>
  <r>
    <x v="13"/>
    <x v="6"/>
    <x v="226"/>
    <n v="42"/>
  </r>
  <r>
    <x v="8"/>
    <x v="14"/>
    <x v="227"/>
    <n v="50"/>
  </r>
  <r>
    <x v="10"/>
    <x v="10"/>
    <x v="228"/>
    <n v="84"/>
  </r>
  <r>
    <x v="18"/>
    <x v="4"/>
    <x v="229"/>
    <n v="34"/>
  </r>
  <r>
    <x v="1"/>
    <x v="19"/>
    <x v="230"/>
    <n v="50"/>
  </r>
  <r>
    <x v="2"/>
    <x v="15"/>
    <x v="231"/>
    <n v="47"/>
  </r>
  <r>
    <x v="19"/>
    <x v="12"/>
    <x v="232"/>
    <n v="19"/>
  </r>
  <r>
    <x v="8"/>
    <x v="19"/>
    <x v="233"/>
    <n v="28"/>
  </r>
  <r>
    <x v="18"/>
    <x v="5"/>
    <x v="234"/>
    <n v="33"/>
  </r>
  <r>
    <x v="10"/>
    <x v="8"/>
    <x v="235"/>
    <n v="82"/>
  </r>
  <r>
    <x v="43"/>
    <x v="0"/>
    <x v="236"/>
    <n v="44"/>
  </r>
  <r>
    <x v="11"/>
    <x v="12"/>
    <x v="237"/>
    <n v="42"/>
  </r>
  <r>
    <x v="4"/>
    <x v="18"/>
    <x v="238"/>
    <n v="55"/>
  </r>
  <r>
    <x v="2"/>
    <x v="17"/>
    <x v="239"/>
    <n v="57"/>
  </r>
  <r>
    <x v="44"/>
    <x v="0"/>
    <x v="240"/>
    <n v="105"/>
  </r>
  <r>
    <x v="10"/>
    <x v="5"/>
    <x v="241"/>
    <n v="80"/>
  </r>
  <r>
    <x v="11"/>
    <x v="10"/>
    <x v="242"/>
    <n v="54"/>
  </r>
  <r>
    <x v="21"/>
    <x v="7"/>
    <x v="243"/>
    <n v="9"/>
  </r>
  <r>
    <x v="5"/>
    <x v="7"/>
    <x v="244"/>
    <n v="73"/>
  </r>
  <r>
    <x v="19"/>
    <x v="3"/>
    <x v="245"/>
    <n v="85"/>
  </r>
  <r>
    <x v="0"/>
    <x v="7"/>
    <x v="246"/>
    <n v="82"/>
  </r>
  <r>
    <x v="3"/>
    <x v="14"/>
    <x v="247"/>
    <n v="70"/>
  </r>
  <r>
    <x v="38"/>
    <x v="1"/>
    <x v="248"/>
    <n v="54"/>
  </r>
  <r>
    <x v="14"/>
    <x v="11"/>
    <x v="249"/>
    <n v="104"/>
  </r>
  <r>
    <x v="12"/>
    <x v="8"/>
    <x v="250"/>
    <n v="45"/>
  </r>
  <r>
    <x v="22"/>
    <x v="4"/>
    <x v="251"/>
    <n v="46"/>
  </r>
  <r>
    <x v="25"/>
    <x v="4"/>
    <x v="252"/>
    <n v="167"/>
  </r>
  <r>
    <x v="3"/>
    <x v="18"/>
    <x v="253"/>
    <n v="61"/>
  </r>
  <r>
    <x v="45"/>
    <x v="0"/>
    <x v="254"/>
    <n v="166"/>
  </r>
  <r>
    <x v="27"/>
    <x v="1"/>
    <x v="255"/>
    <n v="83"/>
  </r>
  <r>
    <x v="16"/>
    <x v="6"/>
    <x v="256"/>
    <n v="79"/>
  </r>
  <r>
    <x v="5"/>
    <x v="12"/>
    <x v="257"/>
    <n v="53"/>
  </r>
  <r>
    <x v="9"/>
    <x v="7"/>
    <x v="258"/>
    <n v="57"/>
  </r>
  <r>
    <x v="5"/>
    <x v="9"/>
    <x v="259"/>
    <n v="67"/>
  </r>
  <r>
    <x v="1"/>
    <x v="20"/>
    <x v="260"/>
    <n v="40"/>
  </r>
  <r>
    <x v="4"/>
    <x v="14"/>
    <x v="261"/>
    <n v="45"/>
  </r>
  <r>
    <x v="12"/>
    <x v="14"/>
    <x v="262"/>
    <n v="37"/>
  </r>
  <r>
    <x v="10"/>
    <x v="9"/>
    <x v="263"/>
    <n v="54"/>
  </r>
  <r>
    <x v="19"/>
    <x v="10"/>
    <x v="264"/>
    <n v="51"/>
  </r>
  <r>
    <x v="15"/>
    <x v="6"/>
    <x v="265"/>
    <n v="82"/>
  </r>
  <r>
    <x v="11"/>
    <x v="8"/>
    <x v="266"/>
    <n v="66"/>
  </r>
  <r>
    <x v="30"/>
    <x v="1"/>
    <x v="267"/>
    <n v="25"/>
  </r>
  <r>
    <x v="39"/>
    <x v="4"/>
    <x v="268"/>
    <n v="8"/>
  </r>
  <r>
    <x v="17"/>
    <x v="6"/>
    <x v="269"/>
    <n v="26"/>
  </r>
  <r>
    <x v="20"/>
    <x v="3"/>
    <x v="270"/>
    <n v="57"/>
  </r>
  <r>
    <x v="21"/>
    <x v="3"/>
    <x v="271"/>
    <n v="8"/>
  </r>
  <r>
    <x v="19"/>
    <x v="4"/>
    <x v="272"/>
    <n v="73"/>
  </r>
  <r>
    <x v="16"/>
    <x v="4"/>
    <x v="273"/>
    <n v="82"/>
  </r>
  <r>
    <x v="3"/>
    <x v="17"/>
    <x v="274"/>
    <n v="58"/>
  </r>
  <r>
    <x v="26"/>
    <x v="2"/>
    <x v="275"/>
    <n v="58"/>
  </r>
  <r>
    <x v="25"/>
    <x v="3"/>
    <x v="276"/>
    <n v="157"/>
  </r>
  <r>
    <x v="11"/>
    <x v="11"/>
    <x v="277"/>
    <n v="61"/>
  </r>
  <r>
    <x v="25"/>
    <x v="6"/>
    <x v="278"/>
    <n v="113"/>
  </r>
  <r>
    <x v="36"/>
    <x v="11"/>
    <x v="279"/>
    <n v="6"/>
  </r>
  <r>
    <x v="23"/>
    <x v="3"/>
    <x v="280"/>
    <n v="77"/>
  </r>
  <r>
    <x v="29"/>
    <x v="2"/>
    <x v="281"/>
    <n v="53"/>
  </r>
  <r>
    <x v="21"/>
    <x v="11"/>
    <x v="282"/>
    <n v="3"/>
  </r>
  <r>
    <x v="14"/>
    <x v="12"/>
    <x v="283"/>
    <n v="70"/>
  </r>
  <r>
    <x v="28"/>
    <x v="6"/>
    <x v="284"/>
    <n v="17"/>
  </r>
  <r>
    <x v="29"/>
    <x v="1"/>
    <x v="285"/>
    <n v="56"/>
  </r>
  <r>
    <x v="46"/>
    <x v="0"/>
    <x v="286"/>
    <n v="65"/>
  </r>
  <r>
    <x v="23"/>
    <x v="4"/>
    <x v="287"/>
    <n v="107"/>
  </r>
  <r>
    <x v="8"/>
    <x v="12"/>
    <x v="288"/>
    <n v="45"/>
  </r>
  <r>
    <x v="9"/>
    <x v="9"/>
    <x v="289"/>
    <n v="63"/>
  </r>
  <r>
    <x v="9"/>
    <x v="10"/>
    <x v="290"/>
    <n v="75"/>
  </r>
  <r>
    <x v="18"/>
    <x v="6"/>
    <x v="291"/>
    <n v="24"/>
  </r>
  <r>
    <x v="2"/>
    <x v="19"/>
    <x v="292"/>
    <n v="38"/>
  </r>
  <r>
    <x v="4"/>
    <x v="16"/>
    <x v="293"/>
    <n v="34"/>
  </r>
  <r>
    <x v="32"/>
    <x v="2"/>
    <x v="294"/>
    <n v="42"/>
  </r>
  <r>
    <x v="6"/>
    <x v="9"/>
    <x v="295"/>
    <n v="46"/>
  </r>
  <r>
    <x v="7"/>
    <x v="17"/>
    <x v="296"/>
    <n v="35"/>
  </r>
  <r>
    <x v="26"/>
    <x v="3"/>
    <x v="297"/>
    <n v="37"/>
  </r>
  <r>
    <x v="47"/>
    <x v="0"/>
    <x v="298"/>
    <n v="110"/>
  </r>
  <r>
    <x v="7"/>
    <x v="12"/>
    <x v="299"/>
    <n v="48"/>
  </r>
  <r>
    <x v="48"/>
    <x v="0"/>
    <x v="300"/>
    <n v="79"/>
  </r>
  <r>
    <x v="18"/>
    <x v="3"/>
    <x v="301"/>
    <n v="29"/>
  </r>
  <r>
    <x v="7"/>
    <x v="14"/>
    <x v="302"/>
    <n v="45"/>
  </r>
  <r>
    <x v="31"/>
    <x v="1"/>
    <x v="303"/>
    <n v="42"/>
  </r>
  <r>
    <x v="4"/>
    <x v="13"/>
    <x v="304"/>
    <n v="41"/>
  </r>
  <r>
    <x v="19"/>
    <x v="6"/>
    <x v="305"/>
    <n v="61"/>
  </r>
  <r>
    <x v="15"/>
    <x v="5"/>
    <x v="306"/>
    <n v="74"/>
  </r>
  <r>
    <x v="8"/>
    <x v="18"/>
    <x v="307"/>
    <n v="24"/>
  </r>
  <r>
    <x v="14"/>
    <x v="9"/>
    <x v="308"/>
    <n v="94"/>
  </r>
  <r>
    <x v="21"/>
    <x v="13"/>
    <x v="309"/>
    <n v="4"/>
  </r>
  <r>
    <x v="0"/>
    <x v="14"/>
    <x v="310"/>
    <n v="56"/>
  </r>
  <r>
    <x v="21"/>
    <x v="9"/>
    <x v="311"/>
    <n v="6"/>
  </r>
  <r>
    <x v="1"/>
    <x v="21"/>
    <x v="312"/>
    <n v="23"/>
  </r>
  <r>
    <x v="26"/>
    <x v="1"/>
    <x v="313"/>
    <n v="51"/>
  </r>
  <r>
    <x v="0"/>
    <x v="9"/>
    <x v="314"/>
    <n v="68"/>
  </r>
  <r>
    <x v="24"/>
    <x v="3"/>
    <x v="315"/>
    <n v="56"/>
  </r>
  <r>
    <x v="11"/>
    <x v="14"/>
    <x v="316"/>
    <n v="34"/>
  </r>
  <r>
    <x v="23"/>
    <x v="5"/>
    <x v="317"/>
    <n v="70"/>
  </r>
  <r>
    <x v="21"/>
    <x v="17"/>
    <x v="318"/>
    <n v="5"/>
  </r>
  <r>
    <x v="49"/>
    <x v="0"/>
    <x v="319"/>
    <n v="32"/>
  </r>
  <r>
    <x v="12"/>
    <x v="7"/>
    <x v="320"/>
    <n v="57"/>
  </r>
  <r>
    <x v="42"/>
    <x v="2"/>
    <x v="321"/>
    <n v="24"/>
  </r>
  <r>
    <x v="50"/>
    <x v="0"/>
    <x v="322"/>
    <n v="82"/>
  </r>
  <r>
    <x v="21"/>
    <x v="4"/>
    <x v="323"/>
    <n v="4"/>
  </r>
  <r>
    <x v="10"/>
    <x v="7"/>
    <x v="324"/>
    <n v="47"/>
  </r>
  <r>
    <x v="10"/>
    <x v="11"/>
    <x v="325"/>
    <n v="60"/>
  </r>
  <r>
    <x v="5"/>
    <x v="14"/>
    <x v="326"/>
    <n v="54"/>
  </r>
  <r>
    <x v="48"/>
    <x v="1"/>
    <x v="327"/>
    <n v="29"/>
  </r>
  <r>
    <x v="20"/>
    <x v="4"/>
    <x v="328"/>
    <n v="41"/>
  </r>
  <r>
    <x v="24"/>
    <x v="4"/>
    <x v="329"/>
    <n v="49"/>
  </r>
  <r>
    <x v="18"/>
    <x v="7"/>
    <x v="330"/>
    <n v="11"/>
  </r>
  <r>
    <x v="28"/>
    <x v="2"/>
    <x v="331"/>
    <n v="19"/>
  </r>
  <r>
    <x v="51"/>
    <x v="0"/>
    <x v="332"/>
    <n v="109"/>
  </r>
  <r>
    <x v="19"/>
    <x v="5"/>
    <x v="333"/>
    <n v="47"/>
  </r>
  <r>
    <x v="37"/>
    <x v="2"/>
    <x v="334"/>
    <n v="36"/>
  </r>
  <r>
    <x v="25"/>
    <x v="5"/>
    <x v="335"/>
    <n v="98"/>
  </r>
  <r>
    <x v="2"/>
    <x v="18"/>
    <x v="336"/>
    <n v="29"/>
  </r>
  <r>
    <x v="7"/>
    <x v="18"/>
    <x v="337"/>
    <n v="26"/>
  </r>
  <r>
    <x v="14"/>
    <x v="10"/>
    <x v="338"/>
    <n v="114"/>
  </r>
  <r>
    <x v="27"/>
    <x v="3"/>
    <x v="339"/>
    <n v="44"/>
  </r>
  <r>
    <x v="12"/>
    <x v="9"/>
    <x v="340"/>
    <n v="46"/>
  </r>
  <r>
    <x v="14"/>
    <x v="8"/>
    <x v="341"/>
    <n v="84"/>
  </r>
  <r>
    <x v="23"/>
    <x v="6"/>
    <x v="342"/>
    <n v="74"/>
  </r>
  <r>
    <x v="21"/>
    <x v="6"/>
    <x v="343"/>
    <n v="5"/>
  </r>
  <r>
    <x v="24"/>
    <x v="6"/>
    <x v="344"/>
    <n v="35"/>
  </r>
  <r>
    <x v="9"/>
    <x v="14"/>
    <x v="345"/>
    <n v="39"/>
  </r>
  <r>
    <x v="27"/>
    <x v="4"/>
    <x v="346"/>
    <n v="42"/>
  </r>
  <r>
    <x v="16"/>
    <x v="5"/>
    <x v="347"/>
    <n v="54"/>
  </r>
  <r>
    <x v="5"/>
    <x v="18"/>
    <x v="348"/>
    <n v="45"/>
  </r>
  <r>
    <x v="27"/>
    <x v="2"/>
    <x v="349"/>
    <n v="85"/>
  </r>
  <r>
    <x v="0"/>
    <x v="18"/>
    <x v="350"/>
    <n v="57"/>
  </r>
  <r>
    <x v="12"/>
    <x v="12"/>
    <x v="351"/>
    <n v="27"/>
  </r>
  <r>
    <x v="7"/>
    <x v="20"/>
    <x v="352"/>
    <n v="17"/>
  </r>
  <r>
    <x v="3"/>
    <x v="19"/>
    <x v="353"/>
    <n v="31"/>
  </r>
  <r>
    <x v="20"/>
    <x v="7"/>
    <x v="354"/>
    <n v="20"/>
  </r>
  <r>
    <x v="38"/>
    <x v="2"/>
    <x v="355"/>
    <n v="33"/>
  </r>
  <r>
    <x v="30"/>
    <x v="7"/>
    <x v="356"/>
    <n v="5"/>
  </r>
  <r>
    <x v="45"/>
    <x v="1"/>
    <x v="357"/>
    <n v="41"/>
  </r>
  <r>
    <x v="12"/>
    <x v="13"/>
    <x v="358"/>
    <n v="14"/>
  </r>
  <r>
    <x v="22"/>
    <x v="3"/>
    <x v="359"/>
    <n v="35"/>
  </r>
  <r>
    <x v="15"/>
    <x v="11"/>
    <x v="360"/>
    <n v="47"/>
  </r>
  <r>
    <x v="7"/>
    <x v="13"/>
    <x v="361"/>
    <n v="22"/>
  </r>
  <r>
    <x v="2"/>
    <x v="22"/>
    <x v="362"/>
    <n v="27"/>
  </r>
  <r>
    <x v="6"/>
    <x v="7"/>
    <x v="363"/>
    <n v="55"/>
  </r>
  <r>
    <x v="14"/>
    <x v="15"/>
    <x v="364"/>
    <n v="22"/>
  </r>
  <r>
    <x v="8"/>
    <x v="17"/>
    <x v="365"/>
    <n v="38"/>
  </r>
  <r>
    <x v="4"/>
    <x v="19"/>
    <x v="366"/>
    <n v="36"/>
  </r>
  <r>
    <x v="11"/>
    <x v="17"/>
    <x v="367"/>
    <n v="27"/>
  </r>
  <r>
    <x v="18"/>
    <x v="11"/>
    <x v="368"/>
    <n v="19"/>
  </r>
  <r>
    <x v="13"/>
    <x v="11"/>
    <x v="369"/>
    <n v="24"/>
  </r>
  <r>
    <x v="3"/>
    <x v="22"/>
    <x v="370"/>
    <n v="23"/>
  </r>
  <r>
    <x v="12"/>
    <x v="18"/>
    <x v="371"/>
    <n v="20"/>
  </r>
  <r>
    <x v="17"/>
    <x v="9"/>
    <x v="372"/>
    <n v="8"/>
  </r>
  <r>
    <x v="16"/>
    <x v="8"/>
    <x v="373"/>
    <n v="35"/>
  </r>
  <r>
    <x v="28"/>
    <x v="4"/>
    <x v="374"/>
    <n v="13"/>
  </r>
  <r>
    <x v="14"/>
    <x v="17"/>
    <x v="375"/>
    <n v="59"/>
  </r>
  <r>
    <x v="22"/>
    <x v="6"/>
    <x v="376"/>
    <n v="21"/>
  </r>
  <r>
    <x v="11"/>
    <x v="7"/>
    <x v="377"/>
    <n v="41"/>
  </r>
  <r>
    <x v="30"/>
    <x v="4"/>
    <x v="378"/>
    <n v="12"/>
  </r>
  <r>
    <x v="15"/>
    <x v="8"/>
    <x v="379"/>
    <n v="45"/>
  </r>
  <r>
    <x v="1"/>
    <x v="22"/>
    <x v="380"/>
    <n v="29"/>
  </r>
  <r>
    <x v="39"/>
    <x v="6"/>
    <x v="381"/>
    <n v="4"/>
  </r>
  <r>
    <x v="13"/>
    <x v="9"/>
    <x v="382"/>
    <n v="22"/>
  </r>
  <r>
    <x v="16"/>
    <x v="10"/>
    <x v="383"/>
    <n v="25"/>
  </r>
  <r>
    <x v="39"/>
    <x v="2"/>
    <x v="384"/>
    <n v="10"/>
  </r>
  <r>
    <x v="6"/>
    <x v="12"/>
    <x v="385"/>
    <n v="31"/>
  </r>
  <r>
    <x v="11"/>
    <x v="18"/>
    <x v="386"/>
    <n v="28"/>
  </r>
  <r>
    <x v="3"/>
    <x v="13"/>
    <x v="387"/>
    <n v="31"/>
  </r>
  <r>
    <x v="22"/>
    <x v="5"/>
    <x v="388"/>
    <n v="26"/>
  </r>
  <r>
    <x v="15"/>
    <x v="10"/>
    <x v="389"/>
    <n v="43"/>
  </r>
  <r>
    <x v="8"/>
    <x v="16"/>
    <x v="390"/>
    <n v="21"/>
  </r>
  <r>
    <x v="5"/>
    <x v="17"/>
    <x v="391"/>
    <n v="40"/>
  </r>
  <r>
    <x v="2"/>
    <x v="21"/>
    <x v="392"/>
    <n v="14"/>
  </r>
  <r>
    <x v="11"/>
    <x v="9"/>
    <x v="393"/>
    <n v="30"/>
  </r>
  <r>
    <x v="15"/>
    <x v="7"/>
    <x v="394"/>
    <n v="47"/>
  </r>
  <r>
    <x v="14"/>
    <x v="16"/>
    <x v="395"/>
    <n v="26"/>
  </r>
  <r>
    <x v="10"/>
    <x v="12"/>
    <x v="396"/>
    <n v="33"/>
  </r>
  <r>
    <x v="34"/>
    <x v="2"/>
    <x v="397"/>
    <n v="50"/>
  </r>
  <r>
    <x v="5"/>
    <x v="13"/>
    <x v="398"/>
    <n v="31"/>
  </r>
  <r>
    <x v="10"/>
    <x v="17"/>
    <x v="399"/>
    <n v="30"/>
  </r>
  <r>
    <x v="20"/>
    <x v="6"/>
    <x v="400"/>
    <n v="33"/>
  </r>
  <r>
    <x v="33"/>
    <x v="2"/>
    <x v="401"/>
    <n v="18"/>
  </r>
  <r>
    <x v="11"/>
    <x v="19"/>
    <x v="402"/>
    <n v="11"/>
  </r>
  <r>
    <x v="19"/>
    <x v="7"/>
    <x v="403"/>
    <n v="18"/>
  </r>
  <r>
    <x v="20"/>
    <x v="5"/>
    <x v="404"/>
    <n v="33"/>
  </r>
  <r>
    <x v="52"/>
    <x v="0"/>
    <x v="405"/>
    <n v="48"/>
  </r>
  <r>
    <x v="5"/>
    <x v="20"/>
    <x v="406"/>
    <n v="19"/>
  </r>
  <r>
    <x v="8"/>
    <x v="15"/>
    <x v="407"/>
    <n v="17"/>
  </r>
  <r>
    <x v="4"/>
    <x v="22"/>
    <x v="408"/>
    <n v="18"/>
  </r>
  <r>
    <x v="34"/>
    <x v="1"/>
    <x v="409"/>
    <n v="52"/>
  </r>
  <r>
    <x v="8"/>
    <x v="13"/>
    <x v="410"/>
    <n v="22"/>
  </r>
  <r>
    <x v="36"/>
    <x v="5"/>
    <x v="411"/>
    <n v="8"/>
  </r>
  <r>
    <x v="13"/>
    <x v="12"/>
    <x v="412"/>
    <n v="21"/>
  </r>
  <r>
    <x v="3"/>
    <x v="15"/>
    <x v="413"/>
    <n v="20"/>
  </r>
  <r>
    <x v="4"/>
    <x v="20"/>
    <x v="414"/>
    <n v="33"/>
  </r>
  <r>
    <x v="9"/>
    <x v="18"/>
    <x v="415"/>
    <n v="34"/>
  </r>
  <r>
    <x v="0"/>
    <x v="17"/>
    <x v="416"/>
    <n v="32"/>
  </r>
  <r>
    <x v="39"/>
    <x v="1"/>
    <x v="417"/>
    <n v="7"/>
  </r>
  <r>
    <x v="31"/>
    <x v="2"/>
    <x v="418"/>
    <n v="27"/>
  </r>
  <r>
    <x v="26"/>
    <x v="6"/>
    <x v="419"/>
    <n v="22"/>
  </r>
  <r>
    <x v="17"/>
    <x v="5"/>
    <x v="420"/>
    <n v="18"/>
  </r>
  <r>
    <x v="9"/>
    <x v="12"/>
    <x v="421"/>
    <n v="29"/>
  </r>
  <r>
    <x v="18"/>
    <x v="14"/>
    <x v="422"/>
    <n v="5"/>
  </r>
  <r>
    <x v="9"/>
    <x v="19"/>
    <x v="423"/>
    <n v="28"/>
  </r>
  <r>
    <x v="7"/>
    <x v="15"/>
    <x v="424"/>
    <n v="21"/>
  </r>
  <r>
    <x v="0"/>
    <x v="19"/>
    <x v="425"/>
    <n v="24"/>
  </r>
  <r>
    <x v="25"/>
    <x v="9"/>
    <x v="426"/>
    <n v="41"/>
  </r>
  <r>
    <x v="3"/>
    <x v="16"/>
    <x v="427"/>
    <n v="32"/>
  </r>
  <r>
    <x v="12"/>
    <x v="19"/>
    <x v="428"/>
    <n v="17"/>
  </r>
  <r>
    <x v="13"/>
    <x v="14"/>
    <x v="429"/>
    <n v="14"/>
  </r>
  <r>
    <x v="25"/>
    <x v="11"/>
    <x v="430"/>
    <n v="73"/>
  </r>
  <r>
    <x v="13"/>
    <x v="17"/>
    <x v="431"/>
    <n v="14"/>
  </r>
  <r>
    <x v="5"/>
    <x v="16"/>
    <x v="432"/>
    <n v="25"/>
  </r>
  <r>
    <x v="53"/>
    <x v="0"/>
    <x v="433"/>
    <n v="54"/>
  </r>
  <r>
    <x v="20"/>
    <x v="9"/>
    <x v="434"/>
    <n v="16"/>
  </r>
  <r>
    <x v="6"/>
    <x v="14"/>
    <x v="435"/>
    <n v="40"/>
  </r>
  <r>
    <x v="32"/>
    <x v="3"/>
    <x v="436"/>
    <n v="22"/>
  </r>
  <r>
    <x v="18"/>
    <x v="18"/>
    <x v="437"/>
    <n v="7"/>
  </r>
  <r>
    <x v="43"/>
    <x v="1"/>
    <x v="438"/>
    <n v="17"/>
  </r>
  <r>
    <x v="23"/>
    <x v="11"/>
    <x v="439"/>
    <n v="45"/>
  </r>
  <r>
    <x v="12"/>
    <x v="20"/>
    <x v="440"/>
    <n v="19"/>
  </r>
  <r>
    <x v="21"/>
    <x v="10"/>
    <x v="441"/>
    <n v="2"/>
  </r>
  <r>
    <x v="19"/>
    <x v="9"/>
    <x v="442"/>
    <n v="16"/>
  </r>
  <r>
    <x v="20"/>
    <x v="11"/>
    <x v="443"/>
    <n v="22"/>
  </r>
  <r>
    <x v="13"/>
    <x v="7"/>
    <x v="444"/>
    <n v="19"/>
  </r>
  <r>
    <x v="0"/>
    <x v="12"/>
    <x v="445"/>
    <n v="34"/>
  </r>
  <r>
    <x v="17"/>
    <x v="14"/>
    <x v="446"/>
    <n v="7"/>
  </r>
  <r>
    <x v="0"/>
    <x v="13"/>
    <x v="447"/>
    <n v="29"/>
  </r>
  <r>
    <x v="7"/>
    <x v="19"/>
    <x v="448"/>
    <n v="20"/>
  </r>
  <r>
    <x v="18"/>
    <x v="17"/>
    <x v="449"/>
    <n v="9"/>
  </r>
  <r>
    <x v="14"/>
    <x v="14"/>
    <x v="450"/>
    <n v="60"/>
  </r>
  <r>
    <x v="31"/>
    <x v="4"/>
    <x v="451"/>
    <n v="12"/>
  </r>
  <r>
    <x v="7"/>
    <x v="22"/>
    <x v="452"/>
    <n v="16"/>
  </r>
  <r>
    <x v="24"/>
    <x v="9"/>
    <x v="453"/>
    <n v="21"/>
  </r>
  <r>
    <x v="9"/>
    <x v="13"/>
    <x v="454"/>
    <n v="15"/>
  </r>
  <r>
    <x v="15"/>
    <x v="15"/>
    <x v="455"/>
    <n v="11"/>
  </r>
  <r>
    <x v="24"/>
    <x v="5"/>
    <x v="456"/>
    <n v="31"/>
  </r>
  <r>
    <x v="17"/>
    <x v="12"/>
    <x v="457"/>
    <n v="8"/>
  </r>
  <r>
    <x v="33"/>
    <x v="4"/>
    <x v="458"/>
    <n v="10"/>
  </r>
  <r>
    <x v="35"/>
    <x v="13"/>
    <x v="459"/>
    <n v="3"/>
  </r>
  <r>
    <x v="21"/>
    <x v="12"/>
    <x v="460"/>
    <n v="4"/>
  </r>
  <r>
    <x v="0"/>
    <x v="15"/>
    <x v="461"/>
    <n v="24"/>
  </r>
  <r>
    <x v="50"/>
    <x v="2"/>
    <x v="462"/>
    <n v="41"/>
  </r>
  <r>
    <x v="18"/>
    <x v="9"/>
    <x v="463"/>
    <n v="7"/>
  </r>
  <r>
    <x v="37"/>
    <x v="1"/>
    <x v="464"/>
    <n v="19"/>
  </r>
  <r>
    <x v="5"/>
    <x v="15"/>
    <x v="465"/>
    <n v="29"/>
  </r>
  <r>
    <x v="22"/>
    <x v="14"/>
    <x v="466"/>
    <n v="7"/>
  </r>
  <r>
    <x v="3"/>
    <x v="21"/>
    <x v="467"/>
    <n v="16"/>
  </r>
  <r>
    <x v="15"/>
    <x v="9"/>
    <x v="468"/>
    <n v="31"/>
  </r>
  <r>
    <x v="23"/>
    <x v="8"/>
    <x v="469"/>
    <n v="40"/>
  </r>
  <r>
    <x v="14"/>
    <x v="13"/>
    <x v="470"/>
    <n v="25"/>
  </r>
  <r>
    <x v="13"/>
    <x v="10"/>
    <x v="471"/>
    <n v="21"/>
  </r>
  <r>
    <x v="9"/>
    <x v="17"/>
    <x v="472"/>
    <n v="20"/>
  </r>
  <r>
    <x v="23"/>
    <x v="10"/>
    <x v="473"/>
    <n v="45"/>
  </r>
  <r>
    <x v="30"/>
    <x v="3"/>
    <x v="474"/>
    <n v="9"/>
  </r>
  <r>
    <x v="35"/>
    <x v="3"/>
    <x v="475"/>
    <n v="19"/>
  </r>
  <r>
    <x v="35"/>
    <x v="1"/>
    <x v="476"/>
    <n v="23"/>
  </r>
  <r>
    <x v="3"/>
    <x v="20"/>
    <x v="477"/>
    <n v="31"/>
  </r>
  <r>
    <x v="15"/>
    <x v="14"/>
    <x v="478"/>
    <n v="24"/>
  </r>
  <r>
    <x v="9"/>
    <x v="21"/>
    <x v="479"/>
    <n v="13"/>
  </r>
  <r>
    <x v="27"/>
    <x v="6"/>
    <x v="480"/>
    <n v="24"/>
  </r>
  <r>
    <x v="13"/>
    <x v="8"/>
    <x v="481"/>
    <n v="19"/>
  </r>
  <r>
    <x v="29"/>
    <x v="3"/>
    <x v="482"/>
    <n v="19"/>
  </r>
  <r>
    <x v="41"/>
    <x v="1"/>
    <x v="483"/>
    <n v="32"/>
  </r>
  <r>
    <x v="10"/>
    <x v="15"/>
    <x v="484"/>
    <n v="21"/>
  </r>
  <r>
    <x v="44"/>
    <x v="1"/>
    <x v="485"/>
    <n v="34"/>
  </r>
  <r>
    <x v="16"/>
    <x v="14"/>
    <x v="486"/>
    <n v="14"/>
  </r>
  <r>
    <x v="34"/>
    <x v="4"/>
    <x v="487"/>
    <n v="33"/>
  </r>
  <r>
    <x v="46"/>
    <x v="14"/>
    <x v="488"/>
    <n v="1"/>
  </r>
  <r>
    <x v="2"/>
    <x v="20"/>
    <x v="489"/>
    <n v="20"/>
  </r>
  <r>
    <x v="21"/>
    <x v="14"/>
    <x v="490"/>
    <n v="2"/>
  </r>
  <r>
    <x v="25"/>
    <x v="12"/>
    <x v="491"/>
    <n v="27"/>
  </r>
  <r>
    <x v="14"/>
    <x v="19"/>
    <x v="492"/>
    <n v="35"/>
  </r>
  <r>
    <x v="12"/>
    <x v="15"/>
    <x v="493"/>
    <n v="16"/>
  </r>
  <r>
    <x v="16"/>
    <x v="7"/>
    <x v="494"/>
    <n v="22"/>
  </r>
  <r>
    <x v="54"/>
    <x v="0"/>
    <x v="495"/>
    <n v="19"/>
  </r>
  <r>
    <x v="42"/>
    <x v="6"/>
    <x v="496"/>
    <n v="12"/>
  </r>
  <r>
    <x v="38"/>
    <x v="4"/>
    <x v="497"/>
    <n v="17"/>
  </r>
  <r>
    <x v="10"/>
    <x v="14"/>
    <x v="498"/>
    <n v="22"/>
  </r>
  <r>
    <x v="44"/>
    <x v="2"/>
    <x v="499"/>
    <n v="31"/>
  </r>
  <r>
    <x v="51"/>
    <x v="1"/>
    <x v="500"/>
    <n v="41"/>
  </r>
  <r>
    <x v="40"/>
    <x v="1"/>
    <x v="501"/>
    <n v="41"/>
  </r>
  <r>
    <x v="4"/>
    <x v="15"/>
    <x v="502"/>
    <n v="27"/>
  </r>
  <r>
    <x v="19"/>
    <x v="13"/>
    <x v="503"/>
    <n v="9"/>
  </r>
  <r>
    <x v="24"/>
    <x v="8"/>
    <x v="504"/>
    <n v="23"/>
  </r>
  <r>
    <x v="1"/>
    <x v="23"/>
    <x v="505"/>
    <n v="15"/>
  </r>
  <r>
    <x v="26"/>
    <x v="4"/>
    <x v="506"/>
    <n v="21"/>
  </r>
  <r>
    <x v="27"/>
    <x v="5"/>
    <x v="507"/>
    <n v="38"/>
  </r>
  <r>
    <x v="42"/>
    <x v="1"/>
    <x v="508"/>
    <n v="17"/>
  </r>
  <r>
    <x v="28"/>
    <x v="8"/>
    <x v="509"/>
    <n v="5"/>
  </r>
  <r>
    <x v="19"/>
    <x v="8"/>
    <x v="510"/>
    <n v="32"/>
  </r>
  <r>
    <x v="22"/>
    <x v="11"/>
    <x v="511"/>
    <n v="10"/>
  </r>
  <r>
    <x v="20"/>
    <x v="16"/>
    <x v="512"/>
    <n v="7"/>
  </r>
  <r>
    <x v="26"/>
    <x v="10"/>
    <x v="513"/>
    <n v="12"/>
  </r>
  <r>
    <x v="23"/>
    <x v="9"/>
    <x v="514"/>
    <n v="28"/>
  </r>
  <r>
    <x v="26"/>
    <x v="5"/>
    <x v="515"/>
    <n v="11"/>
  </r>
  <r>
    <x v="28"/>
    <x v="9"/>
    <x v="516"/>
    <n v="3"/>
  </r>
  <r>
    <x v="17"/>
    <x v="10"/>
    <x v="517"/>
    <n v="9"/>
  </r>
  <r>
    <x v="22"/>
    <x v="7"/>
    <x v="518"/>
    <n v="9"/>
  </r>
  <r>
    <x v="25"/>
    <x v="13"/>
    <x v="519"/>
    <n v="13"/>
  </r>
  <r>
    <x v="16"/>
    <x v="18"/>
    <x v="520"/>
    <n v="22"/>
  </r>
  <r>
    <x v="24"/>
    <x v="11"/>
    <x v="521"/>
    <n v="15"/>
  </r>
  <r>
    <x v="34"/>
    <x v="3"/>
    <x v="522"/>
    <n v="28"/>
  </r>
  <r>
    <x v="18"/>
    <x v="8"/>
    <x v="523"/>
    <n v="10"/>
  </r>
  <r>
    <x v="49"/>
    <x v="10"/>
    <x v="524"/>
    <n v="5"/>
  </r>
  <r>
    <x v="6"/>
    <x v="19"/>
    <x v="525"/>
    <n v="14"/>
  </r>
  <r>
    <x v="7"/>
    <x v="16"/>
    <x v="526"/>
    <n v="16"/>
  </r>
  <r>
    <x v="21"/>
    <x v="20"/>
    <x v="527"/>
    <n v="2"/>
  </r>
  <r>
    <x v="21"/>
    <x v="21"/>
    <x v="528"/>
    <n v="2"/>
  </r>
  <r>
    <x v="15"/>
    <x v="12"/>
    <x v="529"/>
    <n v="22"/>
  </r>
  <r>
    <x v="32"/>
    <x v="5"/>
    <x v="530"/>
    <n v="17"/>
  </r>
  <r>
    <x v="55"/>
    <x v="0"/>
    <x v="531"/>
    <n v="33"/>
  </r>
  <r>
    <x v="25"/>
    <x v="8"/>
    <x v="532"/>
    <n v="50"/>
  </r>
  <r>
    <x v="56"/>
    <x v="0"/>
    <x v="533"/>
    <n v="31"/>
  </r>
  <r>
    <x v="46"/>
    <x v="1"/>
    <x v="534"/>
    <n v="17"/>
  </r>
  <r>
    <x v="6"/>
    <x v="13"/>
    <x v="535"/>
    <n v="18"/>
  </r>
  <r>
    <x v="7"/>
    <x v="21"/>
    <x v="536"/>
    <n v="12"/>
  </r>
  <r>
    <x v="8"/>
    <x v="22"/>
    <x v="537"/>
    <n v="16"/>
  </r>
  <r>
    <x v="36"/>
    <x v="3"/>
    <x v="538"/>
    <n v="18"/>
  </r>
  <r>
    <x v="10"/>
    <x v="13"/>
    <x v="539"/>
    <n v="18"/>
  </r>
  <r>
    <x v="20"/>
    <x v="10"/>
    <x v="540"/>
    <n v="21"/>
  </r>
  <r>
    <x v="42"/>
    <x v="5"/>
    <x v="541"/>
    <n v="7"/>
  </r>
  <r>
    <x v="6"/>
    <x v="17"/>
    <x v="542"/>
    <n v="22"/>
  </r>
  <r>
    <x v="50"/>
    <x v="1"/>
    <x v="543"/>
    <n v="23"/>
  </r>
  <r>
    <x v="8"/>
    <x v="20"/>
    <x v="544"/>
    <n v="20"/>
  </r>
  <r>
    <x v="14"/>
    <x v="20"/>
    <x v="545"/>
    <n v="27"/>
  </r>
  <r>
    <x v="21"/>
    <x v="19"/>
    <x v="546"/>
    <n v="3"/>
  </r>
  <r>
    <x v="28"/>
    <x v="16"/>
    <x v="547"/>
    <n v="2"/>
  </r>
  <r>
    <x v="23"/>
    <x v="7"/>
    <x v="548"/>
    <n v="34"/>
  </r>
  <r>
    <x v="11"/>
    <x v="15"/>
    <x v="549"/>
    <n v="15"/>
  </r>
  <r>
    <x v="27"/>
    <x v="13"/>
    <x v="550"/>
    <n v="2"/>
  </r>
  <r>
    <x v="48"/>
    <x v="2"/>
    <x v="551"/>
    <n v="20"/>
  </r>
  <r>
    <x v="16"/>
    <x v="15"/>
    <x v="552"/>
    <n v="9"/>
  </r>
  <r>
    <x v="30"/>
    <x v="10"/>
    <x v="553"/>
    <n v="6"/>
  </r>
  <r>
    <x v="30"/>
    <x v="5"/>
    <x v="554"/>
    <n v="3"/>
  </r>
  <r>
    <x v="37"/>
    <x v="3"/>
    <x v="555"/>
    <n v="18"/>
  </r>
  <r>
    <x v="38"/>
    <x v="3"/>
    <x v="556"/>
    <n v="16"/>
  </r>
  <r>
    <x v="43"/>
    <x v="2"/>
    <x v="557"/>
    <n v="7"/>
  </r>
  <r>
    <x v="11"/>
    <x v="21"/>
    <x v="558"/>
    <n v="11"/>
  </r>
  <r>
    <x v="16"/>
    <x v="16"/>
    <x v="559"/>
    <n v="3"/>
  </r>
  <r>
    <x v="42"/>
    <x v="18"/>
    <x v="560"/>
    <n v="2"/>
  </r>
  <r>
    <x v="42"/>
    <x v="4"/>
    <x v="561"/>
    <n v="13"/>
  </r>
  <r>
    <x v="11"/>
    <x v="22"/>
    <x v="562"/>
    <n v="7"/>
  </r>
  <r>
    <x v="12"/>
    <x v="17"/>
    <x v="563"/>
    <n v="19"/>
  </r>
  <r>
    <x v="16"/>
    <x v="11"/>
    <x v="564"/>
    <n v="21"/>
  </r>
  <r>
    <x v="4"/>
    <x v="24"/>
    <x v="565"/>
    <n v="7"/>
  </r>
  <r>
    <x v="26"/>
    <x v="11"/>
    <x v="566"/>
    <n v="14"/>
  </r>
  <r>
    <x v="57"/>
    <x v="0"/>
    <x v="567"/>
    <n v="44"/>
  </r>
  <r>
    <x v="44"/>
    <x v="5"/>
    <x v="568"/>
    <n v="4"/>
  </r>
  <r>
    <x v="32"/>
    <x v="6"/>
    <x v="569"/>
    <n v="12"/>
  </r>
  <r>
    <x v="15"/>
    <x v="13"/>
    <x v="570"/>
    <n v="16"/>
  </r>
  <r>
    <x v="40"/>
    <x v="2"/>
    <x v="571"/>
    <n v="35"/>
  </r>
  <r>
    <x v="20"/>
    <x v="8"/>
    <x v="572"/>
    <n v="28"/>
  </r>
  <r>
    <x v="23"/>
    <x v="12"/>
    <x v="573"/>
    <n v="29"/>
  </r>
  <r>
    <x v="58"/>
    <x v="0"/>
    <x v="574"/>
    <n v="12"/>
  </r>
  <r>
    <x v="59"/>
    <x v="0"/>
    <x v="575"/>
    <n v="22"/>
  </r>
  <r>
    <x v="4"/>
    <x v="21"/>
    <x v="576"/>
    <n v="17"/>
  </r>
  <r>
    <x v="17"/>
    <x v="13"/>
    <x v="577"/>
    <n v="4"/>
  </r>
  <r>
    <x v="37"/>
    <x v="4"/>
    <x v="578"/>
    <n v="13"/>
  </r>
  <r>
    <x v="32"/>
    <x v="4"/>
    <x v="579"/>
    <n v="14"/>
  </r>
  <r>
    <x v="21"/>
    <x v="16"/>
    <x v="580"/>
    <n v="2"/>
  </r>
  <r>
    <x v="38"/>
    <x v="8"/>
    <x v="581"/>
    <n v="16"/>
  </r>
  <r>
    <x v="5"/>
    <x v="22"/>
    <x v="582"/>
    <n v="14"/>
  </r>
  <r>
    <x v="60"/>
    <x v="0"/>
    <x v="583"/>
    <n v="28"/>
  </r>
  <r>
    <x v="0"/>
    <x v="16"/>
    <x v="584"/>
    <n v="19"/>
  </r>
  <r>
    <x v="20"/>
    <x v="12"/>
    <x v="585"/>
    <n v="14"/>
  </r>
  <r>
    <x v="23"/>
    <x v="17"/>
    <x v="586"/>
    <n v="22"/>
  </r>
  <r>
    <x v="11"/>
    <x v="13"/>
    <x v="587"/>
    <n v="13"/>
  </r>
  <r>
    <x v="39"/>
    <x v="21"/>
    <x v="588"/>
    <n v="1"/>
  </r>
  <r>
    <x v="39"/>
    <x v="22"/>
    <x v="588"/>
    <n v="1"/>
  </r>
  <r>
    <x v="48"/>
    <x v="9"/>
    <x v="589"/>
    <n v="7"/>
  </r>
  <r>
    <x v="10"/>
    <x v="19"/>
    <x v="590"/>
    <n v="16"/>
  </r>
  <r>
    <x v="12"/>
    <x v="23"/>
    <x v="591"/>
    <n v="5"/>
  </r>
  <r>
    <x v="16"/>
    <x v="12"/>
    <x v="592"/>
    <n v="11"/>
  </r>
  <r>
    <x v="44"/>
    <x v="3"/>
    <x v="593"/>
    <n v="21"/>
  </r>
  <r>
    <x v="38"/>
    <x v="10"/>
    <x v="594"/>
    <n v="7"/>
  </r>
  <r>
    <x v="25"/>
    <x v="7"/>
    <x v="595"/>
    <n v="37"/>
  </r>
  <r>
    <x v="31"/>
    <x v="3"/>
    <x v="596"/>
    <n v="12"/>
  </r>
  <r>
    <x v="9"/>
    <x v="15"/>
    <x v="597"/>
    <n v="23"/>
  </r>
  <r>
    <x v="4"/>
    <x v="23"/>
    <x v="598"/>
    <n v="11"/>
  </r>
  <r>
    <x v="45"/>
    <x v="2"/>
    <x v="599"/>
    <n v="20"/>
  </r>
  <r>
    <x v="36"/>
    <x v="6"/>
    <x v="600"/>
    <n v="5"/>
  </r>
  <r>
    <x v="51"/>
    <x v="2"/>
    <x v="601"/>
    <n v="20"/>
  </r>
  <r>
    <x v="47"/>
    <x v="2"/>
    <x v="602"/>
    <n v="28"/>
  </r>
  <r>
    <x v="28"/>
    <x v="5"/>
    <x v="603"/>
    <n v="5"/>
  </r>
  <r>
    <x v="34"/>
    <x v="6"/>
    <x v="604"/>
    <n v="20"/>
  </r>
  <r>
    <x v="6"/>
    <x v="15"/>
    <x v="605"/>
    <n v="22"/>
  </r>
  <r>
    <x v="9"/>
    <x v="22"/>
    <x v="606"/>
    <n v="12"/>
  </r>
  <r>
    <x v="36"/>
    <x v="13"/>
    <x v="607"/>
    <n v="4"/>
  </r>
  <r>
    <x v="0"/>
    <x v="20"/>
    <x v="608"/>
    <n v="14"/>
  </r>
  <r>
    <x v="2"/>
    <x v="23"/>
    <x v="609"/>
    <n v="11"/>
  </r>
  <r>
    <x v="10"/>
    <x v="22"/>
    <x v="610"/>
    <n v="12"/>
  </r>
  <r>
    <x v="27"/>
    <x v="8"/>
    <x v="611"/>
    <n v="15"/>
  </r>
  <r>
    <x v="10"/>
    <x v="18"/>
    <x v="612"/>
    <n v="21"/>
  </r>
  <r>
    <x v="22"/>
    <x v="9"/>
    <x v="613"/>
    <n v="9"/>
  </r>
  <r>
    <x v="10"/>
    <x v="16"/>
    <x v="614"/>
    <n v="12"/>
  </r>
  <r>
    <x v="47"/>
    <x v="4"/>
    <x v="615"/>
    <n v="15"/>
  </r>
  <r>
    <x v="18"/>
    <x v="12"/>
    <x v="616"/>
    <n v="9"/>
  </r>
  <r>
    <x v="0"/>
    <x v="21"/>
    <x v="617"/>
    <n v="15"/>
  </r>
  <r>
    <x v="20"/>
    <x v="20"/>
    <x v="618"/>
    <n v="5"/>
  </r>
  <r>
    <x v="15"/>
    <x v="18"/>
    <x v="619"/>
    <n v="19"/>
  </r>
  <r>
    <x v="49"/>
    <x v="2"/>
    <x v="620"/>
    <n v="17"/>
  </r>
  <r>
    <x v="22"/>
    <x v="18"/>
    <x v="621"/>
    <n v="8"/>
  </r>
  <r>
    <x v="18"/>
    <x v="20"/>
    <x v="622"/>
    <n v="3"/>
  </r>
  <r>
    <x v="33"/>
    <x v="3"/>
    <x v="623"/>
    <n v="12"/>
  </r>
  <r>
    <x v="40"/>
    <x v="4"/>
    <x v="624"/>
    <n v="27"/>
  </r>
  <r>
    <x v="27"/>
    <x v="9"/>
    <x v="625"/>
    <n v="7"/>
  </r>
  <r>
    <x v="3"/>
    <x v="25"/>
    <x v="626"/>
    <n v="9"/>
  </r>
  <r>
    <x v="35"/>
    <x v="2"/>
    <x v="627"/>
    <n v="14"/>
  </r>
  <r>
    <x v="20"/>
    <x v="19"/>
    <x v="628"/>
    <n v="7"/>
  </r>
  <r>
    <x v="22"/>
    <x v="15"/>
    <x v="629"/>
    <n v="6"/>
  </r>
  <r>
    <x v="20"/>
    <x v="15"/>
    <x v="630"/>
    <n v="6"/>
  </r>
  <r>
    <x v="12"/>
    <x v="16"/>
    <x v="631"/>
    <n v="13"/>
  </r>
  <r>
    <x v="2"/>
    <x v="24"/>
    <x v="632"/>
    <n v="7"/>
  </r>
  <r>
    <x v="29"/>
    <x v="4"/>
    <x v="633"/>
    <n v="13"/>
  </r>
  <r>
    <x v="24"/>
    <x v="7"/>
    <x v="634"/>
    <n v="13"/>
  </r>
  <r>
    <x v="24"/>
    <x v="10"/>
    <x v="635"/>
    <n v="12"/>
  </r>
  <r>
    <x v="29"/>
    <x v="6"/>
    <x v="636"/>
    <n v="12"/>
  </r>
  <r>
    <x v="47"/>
    <x v="1"/>
    <x v="637"/>
    <n v="29"/>
  </r>
  <r>
    <x v="19"/>
    <x v="11"/>
    <x v="638"/>
    <n v="18"/>
  </r>
  <r>
    <x v="19"/>
    <x v="17"/>
    <x v="639"/>
    <n v="11"/>
  </r>
  <r>
    <x v="34"/>
    <x v="11"/>
    <x v="640"/>
    <n v="8"/>
  </r>
  <r>
    <x v="38"/>
    <x v="6"/>
    <x v="641"/>
    <n v="10"/>
  </r>
  <r>
    <x v="61"/>
    <x v="0"/>
    <x v="642"/>
    <n v="18"/>
  </r>
  <r>
    <x v="26"/>
    <x v="9"/>
    <x v="643"/>
    <n v="7"/>
  </r>
  <r>
    <x v="39"/>
    <x v="5"/>
    <x v="644"/>
    <n v="3"/>
  </r>
  <r>
    <x v="48"/>
    <x v="5"/>
    <x v="645"/>
    <n v="7"/>
  </r>
  <r>
    <x v="5"/>
    <x v="21"/>
    <x v="646"/>
    <n v="10"/>
  </r>
  <r>
    <x v="29"/>
    <x v="11"/>
    <x v="647"/>
    <n v="11"/>
  </r>
  <r>
    <x v="28"/>
    <x v="10"/>
    <x v="648"/>
    <n v="3"/>
  </r>
  <r>
    <x v="52"/>
    <x v="2"/>
    <x v="649"/>
    <n v="14"/>
  </r>
  <r>
    <x v="35"/>
    <x v="7"/>
    <x v="650"/>
    <n v="4"/>
  </r>
  <r>
    <x v="32"/>
    <x v="17"/>
    <x v="651"/>
    <n v="2"/>
  </r>
  <r>
    <x v="24"/>
    <x v="12"/>
    <x v="652"/>
    <n v="7"/>
  </r>
  <r>
    <x v="5"/>
    <x v="19"/>
    <x v="653"/>
    <n v="15"/>
  </r>
  <r>
    <x v="25"/>
    <x v="18"/>
    <x v="654"/>
    <n v="20"/>
  </r>
  <r>
    <x v="37"/>
    <x v="6"/>
    <x v="655"/>
    <n v="10"/>
  </r>
  <r>
    <x v="17"/>
    <x v="20"/>
    <x v="656"/>
    <n v="3"/>
  </r>
  <r>
    <x v="30"/>
    <x v="16"/>
    <x v="657"/>
    <n v="1"/>
  </r>
  <r>
    <x v="14"/>
    <x v="18"/>
    <x v="658"/>
    <n v="26"/>
  </r>
  <r>
    <x v="18"/>
    <x v="10"/>
    <x v="659"/>
    <n v="9"/>
  </r>
  <r>
    <x v="35"/>
    <x v="6"/>
    <x v="660"/>
    <n v="13"/>
  </r>
  <r>
    <x v="15"/>
    <x v="17"/>
    <x v="661"/>
    <n v="16"/>
  </r>
  <r>
    <x v="23"/>
    <x v="15"/>
    <x v="662"/>
    <n v="7"/>
  </r>
  <r>
    <x v="45"/>
    <x v="4"/>
    <x v="663"/>
    <n v="10"/>
  </r>
  <r>
    <x v="62"/>
    <x v="0"/>
    <x v="664"/>
    <n v="20"/>
  </r>
  <r>
    <x v="44"/>
    <x v="6"/>
    <x v="665"/>
    <n v="14"/>
  </r>
  <r>
    <x v="11"/>
    <x v="20"/>
    <x v="666"/>
    <n v="8"/>
  </r>
  <r>
    <x v="25"/>
    <x v="19"/>
    <x v="667"/>
    <n v="22"/>
  </r>
  <r>
    <x v="28"/>
    <x v="15"/>
    <x v="668"/>
    <n v="2"/>
  </r>
  <r>
    <x v="21"/>
    <x v="24"/>
    <x v="669"/>
    <n v="1"/>
  </r>
  <r>
    <x v="34"/>
    <x v="15"/>
    <x v="670"/>
    <n v="22"/>
  </r>
  <r>
    <x v="38"/>
    <x v="5"/>
    <x v="671"/>
    <n v="14"/>
  </r>
  <r>
    <x v="35"/>
    <x v="10"/>
    <x v="672"/>
    <n v="6"/>
  </r>
  <r>
    <x v="26"/>
    <x v="18"/>
    <x v="673"/>
    <n v="7"/>
  </r>
  <r>
    <x v="32"/>
    <x v="8"/>
    <x v="674"/>
    <n v="7"/>
  </r>
  <r>
    <x v="16"/>
    <x v="19"/>
    <x v="675"/>
    <n v="7"/>
  </r>
  <r>
    <x v="46"/>
    <x v="3"/>
    <x v="676"/>
    <n v="14"/>
  </r>
  <r>
    <x v="36"/>
    <x v="22"/>
    <x v="677"/>
    <n v="2"/>
  </r>
  <r>
    <x v="2"/>
    <x v="25"/>
    <x v="678"/>
    <n v="4"/>
  </r>
  <r>
    <x v="8"/>
    <x v="21"/>
    <x v="679"/>
    <n v="10"/>
  </r>
  <r>
    <x v="1"/>
    <x v="25"/>
    <x v="680"/>
    <n v="6"/>
  </r>
  <r>
    <x v="13"/>
    <x v="19"/>
    <x v="681"/>
    <n v="9"/>
  </r>
  <r>
    <x v="18"/>
    <x v="19"/>
    <x v="682"/>
    <n v="5"/>
  </r>
  <r>
    <x v="32"/>
    <x v="10"/>
    <x v="683"/>
    <n v="10"/>
  </r>
  <r>
    <x v="1"/>
    <x v="24"/>
    <x v="684"/>
    <n v="10"/>
  </r>
  <r>
    <x v="22"/>
    <x v="21"/>
    <x v="685"/>
    <n v="4"/>
  </r>
  <r>
    <x v="41"/>
    <x v="2"/>
    <x v="686"/>
    <n v="18"/>
  </r>
  <r>
    <x v="24"/>
    <x v="18"/>
    <x v="687"/>
    <n v="9"/>
  </r>
  <r>
    <x v="3"/>
    <x v="23"/>
    <x v="688"/>
    <n v="12"/>
  </r>
  <r>
    <x v="53"/>
    <x v="1"/>
    <x v="689"/>
    <n v="14"/>
  </r>
  <r>
    <x v="34"/>
    <x v="9"/>
    <x v="690"/>
    <n v="7"/>
  </r>
  <r>
    <x v="3"/>
    <x v="26"/>
    <x v="691"/>
    <n v="6"/>
  </r>
  <r>
    <x v="26"/>
    <x v="7"/>
    <x v="692"/>
    <n v="6"/>
  </r>
  <r>
    <x v="21"/>
    <x v="23"/>
    <x v="693"/>
    <n v="1"/>
  </r>
  <r>
    <x v="20"/>
    <x v="17"/>
    <x v="694"/>
    <n v="6"/>
  </r>
  <r>
    <x v="20"/>
    <x v="14"/>
    <x v="695"/>
    <n v="9"/>
  </r>
  <r>
    <x v="31"/>
    <x v="8"/>
    <x v="696"/>
    <n v="5"/>
  </r>
  <r>
    <x v="5"/>
    <x v="25"/>
    <x v="697"/>
    <n v="7"/>
  </r>
  <r>
    <x v="32"/>
    <x v="11"/>
    <x v="698"/>
    <n v="10"/>
  </r>
  <r>
    <x v="27"/>
    <x v="17"/>
    <x v="699"/>
    <n v="3"/>
  </r>
  <r>
    <x v="10"/>
    <x v="21"/>
    <x v="700"/>
    <n v="6"/>
  </r>
  <r>
    <x v="4"/>
    <x v="25"/>
    <x v="701"/>
    <n v="7"/>
  </r>
  <r>
    <x v="6"/>
    <x v="22"/>
    <x v="702"/>
    <n v="12"/>
  </r>
  <r>
    <x v="35"/>
    <x v="8"/>
    <x v="703"/>
    <n v="5"/>
  </r>
  <r>
    <x v="57"/>
    <x v="2"/>
    <x v="704"/>
    <n v="18"/>
  </r>
  <r>
    <x v="14"/>
    <x v="22"/>
    <x v="705"/>
    <n v="20"/>
  </r>
  <r>
    <x v="6"/>
    <x v="20"/>
    <x v="706"/>
    <n v="8"/>
  </r>
  <r>
    <x v="34"/>
    <x v="8"/>
    <x v="707"/>
    <n v="17"/>
  </r>
  <r>
    <x v="13"/>
    <x v="15"/>
    <x v="708"/>
    <n v="5"/>
  </r>
  <r>
    <x v="36"/>
    <x v="2"/>
    <x v="709"/>
    <n v="17"/>
  </r>
  <r>
    <x v="22"/>
    <x v="10"/>
    <x v="710"/>
    <n v="8"/>
  </r>
  <r>
    <x v="13"/>
    <x v="22"/>
    <x v="711"/>
    <n v="5"/>
  </r>
  <r>
    <x v="50"/>
    <x v="7"/>
    <x v="712"/>
    <n v="11"/>
  </r>
  <r>
    <x v="8"/>
    <x v="24"/>
    <x v="713"/>
    <n v="3"/>
  </r>
  <r>
    <x v="35"/>
    <x v="4"/>
    <x v="714"/>
    <n v="10"/>
  </r>
  <r>
    <x v="12"/>
    <x v="22"/>
    <x v="715"/>
    <n v="8"/>
  </r>
  <r>
    <x v="24"/>
    <x v="17"/>
    <x v="716"/>
    <n v="8"/>
  </r>
  <r>
    <x v="21"/>
    <x v="22"/>
    <x v="717"/>
    <n v="1"/>
  </r>
  <r>
    <x v="21"/>
    <x v="25"/>
    <x v="717"/>
    <n v="1"/>
  </r>
  <r>
    <x v="38"/>
    <x v="11"/>
    <x v="718"/>
    <n v="13"/>
  </r>
  <r>
    <x v="22"/>
    <x v="16"/>
    <x v="719"/>
    <n v="2"/>
  </r>
  <r>
    <x v="13"/>
    <x v="13"/>
    <x v="720"/>
    <n v="7"/>
  </r>
  <r>
    <x v="24"/>
    <x v="21"/>
    <x v="721"/>
    <n v="6"/>
  </r>
  <r>
    <x v="42"/>
    <x v="3"/>
    <x v="722"/>
    <n v="7"/>
  </r>
  <r>
    <x v="29"/>
    <x v="5"/>
    <x v="723"/>
    <n v="10"/>
  </r>
  <r>
    <x v="58"/>
    <x v="10"/>
    <x v="724"/>
    <n v="1"/>
  </r>
  <r>
    <x v="34"/>
    <x v="10"/>
    <x v="725"/>
    <n v="12"/>
  </r>
  <r>
    <x v="23"/>
    <x v="13"/>
    <x v="726"/>
    <n v="12"/>
  </r>
  <r>
    <x v="28"/>
    <x v="11"/>
    <x v="727"/>
    <n v="3"/>
  </r>
  <r>
    <x v="16"/>
    <x v="9"/>
    <x v="728"/>
    <n v="13"/>
  </r>
  <r>
    <x v="24"/>
    <x v="14"/>
    <x v="729"/>
    <n v="8"/>
  </r>
  <r>
    <x v="47"/>
    <x v="11"/>
    <x v="730"/>
    <n v="14"/>
  </r>
  <r>
    <x v="15"/>
    <x v="19"/>
    <x v="731"/>
    <n v="9"/>
  </r>
  <r>
    <x v="27"/>
    <x v="11"/>
    <x v="732"/>
    <n v="15"/>
  </r>
  <r>
    <x v="49"/>
    <x v="3"/>
    <x v="733"/>
    <n v="8"/>
  </r>
  <r>
    <x v="29"/>
    <x v="10"/>
    <x v="734"/>
    <n v="8"/>
  </r>
  <r>
    <x v="30"/>
    <x v="12"/>
    <x v="735"/>
    <n v="2"/>
  </r>
  <r>
    <x v="60"/>
    <x v="6"/>
    <x v="736"/>
    <n v="4"/>
  </r>
  <r>
    <x v="25"/>
    <x v="20"/>
    <x v="737"/>
    <n v="13"/>
  </r>
  <r>
    <x v="14"/>
    <x v="25"/>
    <x v="738"/>
    <n v="5"/>
  </r>
  <r>
    <x v="61"/>
    <x v="2"/>
    <x v="739"/>
    <n v="4"/>
  </r>
  <r>
    <x v="9"/>
    <x v="20"/>
    <x v="740"/>
    <n v="11"/>
  </r>
  <r>
    <x v="13"/>
    <x v="21"/>
    <x v="741"/>
    <n v="5"/>
  </r>
  <r>
    <x v="22"/>
    <x v="8"/>
    <x v="742"/>
    <n v="10"/>
  </r>
  <r>
    <x v="26"/>
    <x v="14"/>
    <x v="743"/>
    <n v="6"/>
  </r>
  <r>
    <x v="45"/>
    <x v="3"/>
    <x v="744"/>
    <n v="14"/>
  </r>
  <r>
    <x v="49"/>
    <x v="1"/>
    <x v="745"/>
    <n v="9"/>
  </r>
  <r>
    <x v="46"/>
    <x v="10"/>
    <x v="746"/>
    <n v="5"/>
  </r>
  <r>
    <x v="53"/>
    <x v="2"/>
    <x v="747"/>
    <n v="13"/>
  </r>
  <r>
    <x v="30"/>
    <x v="6"/>
    <x v="748"/>
    <n v="3"/>
  </r>
  <r>
    <x v="50"/>
    <x v="4"/>
    <x v="749"/>
    <n v="16"/>
  </r>
  <r>
    <x v="24"/>
    <x v="13"/>
    <x v="750"/>
    <n v="7"/>
  </r>
  <r>
    <x v="42"/>
    <x v="14"/>
    <x v="751"/>
    <n v="4"/>
  </r>
  <r>
    <x v="52"/>
    <x v="4"/>
    <x v="752"/>
    <n v="10"/>
  </r>
  <r>
    <x v="63"/>
    <x v="0"/>
    <x v="753"/>
    <n v="18"/>
  </r>
  <r>
    <x v="9"/>
    <x v="16"/>
    <x v="754"/>
    <n v="12"/>
  </r>
  <r>
    <x v="31"/>
    <x v="7"/>
    <x v="755"/>
    <n v="4"/>
  </r>
  <r>
    <x v="1"/>
    <x v="26"/>
    <x v="756"/>
    <n v="6"/>
  </r>
  <r>
    <x v="46"/>
    <x v="13"/>
    <x v="757"/>
    <n v="1"/>
  </r>
  <r>
    <x v="19"/>
    <x v="14"/>
    <x v="758"/>
    <n v="12"/>
  </r>
  <r>
    <x v="23"/>
    <x v="18"/>
    <x v="759"/>
    <n v="14"/>
  </r>
  <r>
    <x v="56"/>
    <x v="11"/>
    <x v="760"/>
    <n v="4"/>
  </r>
  <r>
    <x v="50"/>
    <x v="10"/>
    <x v="761"/>
    <n v="6"/>
  </r>
  <r>
    <x v="27"/>
    <x v="14"/>
    <x v="762"/>
    <n v="8"/>
  </r>
  <r>
    <x v="6"/>
    <x v="16"/>
    <x v="763"/>
    <n v="9"/>
  </r>
  <r>
    <x v="59"/>
    <x v="1"/>
    <x v="764"/>
    <n v="8"/>
  </r>
  <r>
    <x v="58"/>
    <x v="1"/>
    <x v="765"/>
    <n v="8"/>
  </r>
  <r>
    <x v="28"/>
    <x v="22"/>
    <x v="766"/>
    <n v="3"/>
  </r>
  <r>
    <x v="42"/>
    <x v="7"/>
    <x v="767"/>
    <n v="4"/>
  </r>
  <r>
    <x v="48"/>
    <x v="3"/>
    <x v="768"/>
    <n v="7"/>
  </r>
  <r>
    <x v="37"/>
    <x v="11"/>
    <x v="769"/>
    <n v="5"/>
  </r>
  <r>
    <x v="0"/>
    <x v="22"/>
    <x v="770"/>
    <n v="9"/>
  </r>
  <r>
    <x v="13"/>
    <x v="16"/>
    <x v="771"/>
    <n v="3"/>
  </r>
  <r>
    <x v="18"/>
    <x v="13"/>
    <x v="772"/>
    <n v="4"/>
  </r>
  <r>
    <x v="24"/>
    <x v="16"/>
    <x v="773"/>
    <n v="5"/>
  </r>
  <r>
    <x v="48"/>
    <x v="7"/>
    <x v="774"/>
    <n v="6"/>
  </r>
  <r>
    <x v="40"/>
    <x v="5"/>
    <x v="775"/>
    <n v="15"/>
  </r>
  <r>
    <x v="11"/>
    <x v="26"/>
    <x v="776"/>
    <n v="2"/>
  </r>
  <r>
    <x v="25"/>
    <x v="14"/>
    <x v="777"/>
    <n v="22"/>
  </r>
  <r>
    <x v="37"/>
    <x v="10"/>
    <x v="778"/>
    <n v="5"/>
  </r>
  <r>
    <x v="16"/>
    <x v="21"/>
    <x v="779"/>
    <n v="8"/>
  </r>
  <r>
    <x v="47"/>
    <x v="6"/>
    <x v="780"/>
    <n v="9"/>
  </r>
  <r>
    <x v="29"/>
    <x v="7"/>
    <x v="781"/>
    <n v="6"/>
  </r>
  <r>
    <x v="52"/>
    <x v="1"/>
    <x v="782"/>
    <n v="12"/>
  </r>
  <r>
    <x v="40"/>
    <x v="11"/>
    <x v="783"/>
    <n v="14"/>
  </r>
  <r>
    <x v="52"/>
    <x v="5"/>
    <x v="784"/>
    <n v="7"/>
  </r>
  <r>
    <x v="28"/>
    <x v="7"/>
    <x v="785"/>
    <n v="2"/>
  </r>
  <r>
    <x v="26"/>
    <x v="13"/>
    <x v="786"/>
    <n v="5"/>
  </r>
  <r>
    <x v="27"/>
    <x v="26"/>
    <x v="787"/>
    <n v="3"/>
  </r>
  <r>
    <x v="50"/>
    <x v="8"/>
    <x v="788"/>
    <n v="7"/>
  </r>
  <r>
    <x v="33"/>
    <x v="10"/>
    <x v="789"/>
    <n v="6"/>
  </r>
  <r>
    <x v="64"/>
    <x v="0"/>
    <x v="790"/>
    <n v="12"/>
  </r>
  <r>
    <x v="44"/>
    <x v="4"/>
    <x v="791"/>
    <n v="14"/>
  </r>
  <r>
    <x v="47"/>
    <x v="3"/>
    <x v="792"/>
    <n v="12"/>
  </r>
  <r>
    <x v="56"/>
    <x v="1"/>
    <x v="793"/>
    <n v="10"/>
  </r>
  <r>
    <x v="65"/>
    <x v="0"/>
    <x v="794"/>
    <n v="15"/>
  </r>
  <r>
    <x v="37"/>
    <x v="18"/>
    <x v="795"/>
    <n v="5"/>
  </r>
  <r>
    <x v="38"/>
    <x v="9"/>
    <x v="796"/>
    <n v="5"/>
  </r>
  <r>
    <x v="34"/>
    <x v="5"/>
    <x v="797"/>
    <n v="14"/>
  </r>
  <r>
    <x v="41"/>
    <x v="5"/>
    <x v="798"/>
    <n v="10"/>
  </r>
  <r>
    <x v="33"/>
    <x v="11"/>
    <x v="799"/>
    <n v="6"/>
  </r>
  <r>
    <x v="57"/>
    <x v="6"/>
    <x v="800"/>
    <n v="11"/>
  </r>
  <r>
    <x v="45"/>
    <x v="6"/>
    <x v="801"/>
    <n v="14"/>
  </r>
  <r>
    <x v="26"/>
    <x v="20"/>
    <x v="802"/>
    <n v="3"/>
  </r>
  <r>
    <x v="42"/>
    <x v="9"/>
    <x v="803"/>
    <n v="5"/>
  </r>
  <r>
    <x v="35"/>
    <x v="19"/>
    <x v="804"/>
    <n v="3"/>
  </r>
  <r>
    <x v="20"/>
    <x v="13"/>
    <x v="805"/>
    <n v="7"/>
  </r>
  <r>
    <x v="32"/>
    <x v="20"/>
    <x v="806"/>
    <n v="2"/>
  </r>
  <r>
    <x v="10"/>
    <x v="20"/>
    <x v="807"/>
    <n v="6"/>
  </r>
  <r>
    <x v="46"/>
    <x v="11"/>
    <x v="808"/>
    <n v="4"/>
  </r>
  <r>
    <x v="25"/>
    <x v="10"/>
    <x v="809"/>
    <n v="32"/>
  </r>
  <r>
    <x v="56"/>
    <x v="2"/>
    <x v="810"/>
    <n v="9"/>
  </r>
  <r>
    <x v="50"/>
    <x v="5"/>
    <x v="811"/>
    <n v="7"/>
  </r>
  <r>
    <x v="16"/>
    <x v="17"/>
    <x v="812"/>
    <n v="9"/>
  </r>
  <r>
    <x v="33"/>
    <x v="5"/>
    <x v="813"/>
    <n v="6"/>
  </r>
  <r>
    <x v="44"/>
    <x v="11"/>
    <x v="814"/>
    <n v="7"/>
  </r>
  <r>
    <x v="60"/>
    <x v="3"/>
    <x v="815"/>
    <n v="9"/>
  </r>
  <r>
    <x v="26"/>
    <x v="19"/>
    <x v="816"/>
    <n v="4"/>
  </r>
  <r>
    <x v="28"/>
    <x v="14"/>
    <x v="817"/>
    <n v="3"/>
  </r>
  <r>
    <x v="3"/>
    <x v="24"/>
    <x v="818"/>
    <n v="6"/>
  </r>
  <r>
    <x v="43"/>
    <x v="6"/>
    <x v="819"/>
    <n v="3"/>
  </r>
  <r>
    <x v="26"/>
    <x v="8"/>
    <x v="820"/>
    <n v="7"/>
  </r>
  <r>
    <x v="37"/>
    <x v="8"/>
    <x v="821"/>
    <n v="4"/>
  </r>
  <r>
    <x v="16"/>
    <x v="13"/>
    <x v="822"/>
    <n v="8"/>
  </r>
  <r>
    <x v="17"/>
    <x v="7"/>
    <x v="823"/>
    <n v="3"/>
  </r>
  <r>
    <x v="50"/>
    <x v="11"/>
    <x v="824"/>
    <n v="5"/>
  </r>
  <r>
    <x v="22"/>
    <x v="20"/>
    <x v="825"/>
    <n v="1"/>
  </r>
  <r>
    <x v="28"/>
    <x v="18"/>
    <x v="826"/>
    <n v="3"/>
  </r>
  <r>
    <x v="14"/>
    <x v="23"/>
    <x v="827"/>
    <n v="14"/>
  </r>
  <r>
    <x v="46"/>
    <x v="2"/>
    <x v="828"/>
    <n v="10"/>
  </r>
  <r>
    <x v="26"/>
    <x v="23"/>
    <x v="829"/>
    <n v="4"/>
  </r>
  <r>
    <x v="50"/>
    <x v="6"/>
    <x v="830"/>
    <n v="5"/>
  </r>
  <r>
    <x v="39"/>
    <x v="8"/>
    <x v="831"/>
    <n v="1"/>
  </r>
  <r>
    <x v="39"/>
    <x v="18"/>
    <x v="831"/>
    <n v="1"/>
  </r>
  <r>
    <x v="39"/>
    <x v="14"/>
    <x v="831"/>
    <n v="1"/>
  </r>
  <r>
    <x v="55"/>
    <x v="17"/>
    <x v="832"/>
    <n v="1"/>
  </r>
  <r>
    <x v="40"/>
    <x v="6"/>
    <x v="833"/>
    <n v="14"/>
  </r>
  <r>
    <x v="37"/>
    <x v="5"/>
    <x v="834"/>
    <n v="6"/>
  </r>
  <r>
    <x v="50"/>
    <x v="3"/>
    <x v="835"/>
    <n v="10"/>
  </r>
  <r>
    <x v="13"/>
    <x v="18"/>
    <x v="836"/>
    <n v="4"/>
  </r>
  <r>
    <x v="40"/>
    <x v="14"/>
    <x v="837"/>
    <n v="6"/>
  </r>
  <r>
    <x v="38"/>
    <x v="17"/>
    <x v="838"/>
    <n v="3"/>
  </r>
  <r>
    <x v="36"/>
    <x v="16"/>
    <x v="839"/>
    <n v="4"/>
  </r>
  <r>
    <x v="32"/>
    <x v="16"/>
    <x v="840"/>
    <n v="3"/>
  </r>
  <r>
    <x v="66"/>
    <x v="0"/>
    <x v="841"/>
    <n v="5"/>
  </r>
  <r>
    <x v="11"/>
    <x v="16"/>
    <x v="842"/>
    <n v="7"/>
  </r>
  <r>
    <x v="40"/>
    <x v="3"/>
    <x v="843"/>
    <n v="12"/>
  </r>
  <r>
    <x v="46"/>
    <x v="5"/>
    <x v="844"/>
    <n v="6"/>
  </r>
  <r>
    <x v="8"/>
    <x v="23"/>
    <x v="845"/>
    <n v="4"/>
  </r>
  <r>
    <x v="15"/>
    <x v="21"/>
    <x v="846"/>
    <n v="7"/>
  </r>
  <r>
    <x v="9"/>
    <x v="23"/>
    <x v="847"/>
    <n v="6"/>
  </r>
  <r>
    <x v="47"/>
    <x v="5"/>
    <x v="848"/>
    <n v="10"/>
  </r>
  <r>
    <x v="31"/>
    <x v="6"/>
    <x v="849"/>
    <n v="6"/>
  </r>
  <r>
    <x v="27"/>
    <x v="10"/>
    <x v="850"/>
    <n v="14"/>
  </r>
  <r>
    <x v="26"/>
    <x v="17"/>
    <x v="851"/>
    <n v="4"/>
  </r>
  <r>
    <x v="41"/>
    <x v="4"/>
    <x v="852"/>
    <n v="9"/>
  </r>
  <r>
    <x v="57"/>
    <x v="5"/>
    <x v="853"/>
    <n v="8"/>
  </r>
  <r>
    <x v="57"/>
    <x v="12"/>
    <x v="854"/>
    <n v="1"/>
  </r>
  <r>
    <x v="23"/>
    <x v="23"/>
    <x v="855"/>
    <n v="1"/>
  </r>
  <r>
    <x v="15"/>
    <x v="23"/>
    <x v="856"/>
    <n v="6"/>
  </r>
  <r>
    <x v="11"/>
    <x v="25"/>
    <x v="857"/>
    <n v="3"/>
  </r>
  <r>
    <x v="29"/>
    <x v="14"/>
    <x v="858"/>
    <n v="3"/>
  </r>
  <r>
    <x v="29"/>
    <x v="17"/>
    <x v="859"/>
    <n v="2"/>
  </r>
  <r>
    <x v="58"/>
    <x v="2"/>
    <x v="860"/>
    <n v="6"/>
  </r>
  <r>
    <x v="0"/>
    <x v="23"/>
    <x v="861"/>
    <n v="7"/>
  </r>
  <r>
    <x v="60"/>
    <x v="14"/>
    <x v="862"/>
    <n v="1"/>
  </r>
  <r>
    <x v="47"/>
    <x v="8"/>
    <x v="863"/>
    <n v="4"/>
  </r>
  <r>
    <x v="44"/>
    <x v="17"/>
    <x v="864"/>
    <n v="4"/>
  </r>
  <r>
    <x v="51"/>
    <x v="7"/>
    <x v="865"/>
    <n v="5"/>
  </r>
  <r>
    <x v="38"/>
    <x v="14"/>
    <x v="866"/>
    <n v="4"/>
  </r>
  <r>
    <x v="0"/>
    <x v="24"/>
    <x v="867"/>
    <n v="3"/>
  </r>
  <r>
    <x v="17"/>
    <x v="11"/>
    <x v="868"/>
    <n v="3"/>
  </r>
  <r>
    <x v="14"/>
    <x v="21"/>
    <x v="869"/>
    <n v="17"/>
  </r>
  <r>
    <x v="43"/>
    <x v="5"/>
    <x v="870"/>
    <n v="4"/>
  </r>
  <r>
    <x v="23"/>
    <x v="14"/>
    <x v="871"/>
    <n v="13"/>
  </r>
  <r>
    <x v="44"/>
    <x v="14"/>
    <x v="872"/>
    <n v="5"/>
  </r>
  <r>
    <x v="31"/>
    <x v="14"/>
    <x v="873"/>
    <n v="2"/>
  </r>
  <r>
    <x v="11"/>
    <x v="23"/>
    <x v="874"/>
    <n v="5"/>
  </r>
  <r>
    <x v="15"/>
    <x v="16"/>
    <x v="875"/>
    <n v="8"/>
  </r>
  <r>
    <x v="51"/>
    <x v="4"/>
    <x v="876"/>
    <n v="13"/>
  </r>
  <r>
    <x v="27"/>
    <x v="12"/>
    <x v="877"/>
    <n v="10"/>
  </r>
  <r>
    <x v="37"/>
    <x v="14"/>
    <x v="878"/>
    <n v="3"/>
  </r>
  <r>
    <x v="48"/>
    <x v="4"/>
    <x v="879"/>
    <n v="5"/>
  </r>
  <r>
    <x v="34"/>
    <x v="7"/>
    <x v="880"/>
    <n v="8"/>
  </r>
  <r>
    <x v="39"/>
    <x v="7"/>
    <x v="881"/>
    <n v="1"/>
  </r>
  <r>
    <x v="7"/>
    <x v="23"/>
    <x v="882"/>
    <n v="4"/>
  </r>
  <r>
    <x v="52"/>
    <x v="3"/>
    <x v="883"/>
    <n v="7"/>
  </r>
  <r>
    <x v="53"/>
    <x v="5"/>
    <x v="884"/>
    <n v="6"/>
  </r>
  <r>
    <x v="19"/>
    <x v="18"/>
    <x v="885"/>
    <n v="9"/>
  </r>
  <r>
    <x v="34"/>
    <x v="25"/>
    <x v="886"/>
    <n v="2"/>
  </r>
  <r>
    <x v="23"/>
    <x v="21"/>
    <x v="887"/>
    <n v="7"/>
  </r>
  <r>
    <x v="26"/>
    <x v="16"/>
    <x v="888"/>
    <n v="3"/>
  </r>
  <r>
    <x v="24"/>
    <x v="19"/>
    <x v="889"/>
    <n v="5"/>
  </r>
  <r>
    <x v="12"/>
    <x v="25"/>
    <x v="890"/>
    <n v="2"/>
  </r>
  <r>
    <x v="46"/>
    <x v="8"/>
    <x v="891"/>
    <n v="4"/>
  </r>
  <r>
    <x v="42"/>
    <x v="10"/>
    <x v="892"/>
    <n v="6"/>
  </r>
  <r>
    <x v="46"/>
    <x v="6"/>
    <x v="893"/>
    <n v="5"/>
  </r>
  <r>
    <x v="0"/>
    <x v="26"/>
    <x v="894"/>
    <n v="2"/>
  </r>
  <r>
    <x v="25"/>
    <x v="24"/>
    <x v="895"/>
    <n v="3"/>
  </r>
  <r>
    <x v="40"/>
    <x v="7"/>
    <x v="896"/>
    <n v="8"/>
  </r>
  <r>
    <x v="32"/>
    <x v="9"/>
    <x v="897"/>
    <n v="2"/>
  </r>
  <r>
    <x v="57"/>
    <x v="1"/>
    <x v="898"/>
    <n v="11"/>
  </r>
  <r>
    <x v="48"/>
    <x v="13"/>
    <x v="899"/>
    <n v="1"/>
  </r>
  <r>
    <x v="33"/>
    <x v="6"/>
    <x v="900"/>
    <n v="1"/>
  </r>
  <r>
    <x v="28"/>
    <x v="19"/>
    <x v="901"/>
    <n v="1"/>
  </r>
  <r>
    <x v="29"/>
    <x v="22"/>
    <x v="902"/>
    <n v="1"/>
  </r>
  <r>
    <x v="21"/>
    <x v="18"/>
    <x v="902"/>
    <n v="1"/>
  </r>
  <r>
    <x v="5"/>
    <x v="26"/>
    <x v="903"/>
    <n v="4"/>
  </r>
  <r>
    <x v="30"/>
    <x v="24"/>
    <x v="904"/>
    <n v="1"/>
  </r>
  <r>
    <x v="42"/>
    <x v="13"/>
    <x v="905"/>
    <n v="3"/>
  </r>
  <r>
    <x v="49"/>
    <x v="5"/>
    <x v="906"/>
    <n v="4"/>
  </r>
  <r>
    <x v="33"/>
    <x v="14"/>
    <x v="907"/>
    <n v="3"/>
  </r>
  <r>
    <x v="19"/>
    <x v="21"/>
    <x v="908"/>
    <n v="5"/>
  </r>
  <r>
    <x v="32"/>
    <x v="7"/>
    <x v="909"/>
    <n v="4"/>
  </r>
  <r>
    <x v="19"/>
    <x v="15"/>
    <x v="910"/>
    <n v="6"/>
  </r>
  <r>
    <x v="36"/>
    <x v="12"/>
    <x v="911"/>
    <n v="1"/>
  </r>
  <r>
    <x v="41"/>
    <x v="3"/>
    <x v="912"/>
    <n v="8"/>
  </r>
  <r>
    <x v="19"/>
    <x v="16"/>
    <x v="913"/>
    <n v="4"/>
  </r>
  <r>
    <x v="19"/>
    <x v="19"/>
    <x v="914"/>
    <n v="7"/>
  </r>
  <r>
    <x v="38"/>
    <x v="12"/>
    <x v="915"/>
    <n v="1"/>
  </r>
  <r>
    <x v="0"/>
    <x v="25"/>
    <x v="916"/>
    <n v="3"/>
  </r>
  <r>
    <x v="41"/>
    <x v="8"/>
    <x v="917"/>
    <n v="6"/>
  </r>
  <r>
    <x v="59"/>
    <x v="2"/>
    <x v="918"/>
    <n v="3"/>
  </r>
  <r>
    <x v="30"/>
    <x v="17"/>
    <x v="919"/>
    <n v="1"/>
  </r>
  <r>
    <x v="58"/>
    <x v="4"/>
    <x v="920"/>
    <n v="7"/>
  </r>
  <r>
    <x v="44"/>
    <x v="9"/>
    <x v="921"/>
    <n v="4"/>
  </r>
  <r>
    <x v="12"/>
    <x v="21"/>
    <x v="922"/>
    <n v="6"/>
  </r>
  <r>
    <x v="51"/>
    <x v="5"/>
    <x v="923"/>
    <n v="6"/>
  </r>
  <r>
    <x v="38"/>
    <x v="16"/>
    <x v="924"/>
    <n v="5"/>
  </r>
  <r>
    <x v="45"/>
    <x v="11"/>
    <x v="925"/>
    <n v="5"/>
  </r>
  <r>
    <x v="50"/>
    <x v="18"/>
    <x v="926"/>
    <n v="4"/>
  </r>
  <r>
    <x v="50"/>
    <x v="12"/>
    <x v="927"/>
    <n v="4"/>
  </r>
  <r>
    <x v="19"/>
    <x v="23"/>
    <x v="928"/>
    <n v="1"/>
  </r>
  <r>
    <x v="8"/>
    <x v="25"/>
    <x v="929"/>
    <n v="4"/>
  </r>
  <r>
    <x v="28"/>
    <x v="23"/>
    <x v="930"/>
    <n v="1"/>
  </r>
  <r>
    <x v="33"/>
    <x v="16"/>
    <x v="930"/>
    <n v="1"/>
  </r>
  <r>
    <x v="44"/>
    <x v="20"/>
    <x v="931"/>
    <n v="3"/>
  </r>
  <r>
    <x v="30"/>
    <x v="14"/>
    <x v="932"/>
    <n v="2"/>
  </r>
  <r>
    <x v="30"/>
    <x v="13"/>
    <x v="933"/>
    <n v="2"/>
  </r>
  <r>
    <x v="15"/>
    <x v="25"/>
    <x v="934"/>
    <n v="2"/>
  </r>
  <r>
    <x v="60"/>
    <x v="1"/>
    <x v="935"/>
    <n v="5"/>
  </r>
  <r>
    <x v="30"/>
    <x v="18"/>
    <x v="936"/>
    <n v="3"/>
  </r>
  <r>
    <x v="6"/>
    <x v="21"/>
    <x v="937"/>
    <n v="5"/>
  </r>
  <r>
    <x v="29"/>
    <x v="8"/>
    <x v="938"/>
    <n v="6"/>
  </r>
  <r>
    <x v="42"/>
    <x v="8"/>
    <x v="939"/>
    <n v="3"/>
  </r>
  <r>
    <x v="32"/>
    <x v="14"/>
    <x v="940"/>
    <n v="3"/>
  </r>
  <r>
    <x v="49"/>
    <x v="11"/>
    <x v="941"/>
    <n v="4"/>
  </r>
  <r>
    <x v="6"/>
    <x v="25"/>
    <x v="942"/>
    <n v="3"/>
  </r>
  <r>
    <x v="19"/>
    <x v="22"/>
    <x v="943"/>
    <n v="4"/>
  </r>
  <r>
    <x v="40"/>
    <x v="8"/>
    <x v="944"/>
    <n v="7"/>
  </r>
  <r>
    <x v="43"/>
    <x v="8"/>
    <x v="945"/>
    <n v="1"/>
  </r>
  <r>
    <x v="13"/>
    <x v="20"/>
    <x v="946"/>
    <n v="3"/>
  </r>
  <r>
    <x v="56"/>
    <x v="5"/>
    <x v="947"/>
    <n v="5"/>
  </r>
  <r>
    <x v="29"/>
    <x v="19"/>
    <x v="948"/>
    <n v="3"/>
  </r>
  <r>
    <x v="49"/>
    <x v="6"/>
    <x v="949"/>
    <n v="5"/>
  </r>
  <r>
    <x v="39"/>
    <x v="3"/>
    <x v="950"/>
    <n v="3"/>
  </r>
  <r>
    <x v="60"/>
    <x v="2"/>
    <x v="951"/>
    <n v="6"/>
  </r>
  <r>
    <x v="66"/>
    <x v="6"/>
    <x v="952"/>
    <n v="2"/>
  </r>
  <r>
    <x v="45"/>
    <x v="5"/>
    <x v="953"/>
    <n v="6"/>
  </r>
  <r>
    <x v="55"/>
    <x v="1"/>
    <x v="954"/>
    <n v="5"/>
  </r>
  <r>
    <x v="6"/>
    <x v="24"/>
    <x v="955"/>
    <n v="4"/>
  </r>
  <r>
    <x v="48"/>
    <x v="11"/>
    <x v="956"/>
    <n v="3"/>
  </r>
  <r>
    <x v="65"/>
    <x v="2"/>
    <x v="957"/>
    <n v="6"/>
  </r>
  <r>
    <x v="22"/>
    <x v="12"/>
    <x v="958"/>
    <n v="2"/>
  </r>
  <r>
    <x v="25"/>
    <x v="25"/>
    <x v="959"/>
    <n v="4"/>
  </r>
  <r>
    <x v="44"/>
    <x v="12"/>
    <x v="960"/>
    <n v="5"/>
  </r>
  <r>
    <x v="57"/>
    <x v="3"/>
    <x v="961"/>
    <n v="5"/>
  </r>
  <r>
    <x v="50"/>
    <x v="14"/>
    <x v="962"/>
    <n v="3"/>
  </r>
  <r>
    <x v="62"/>
    <x v="2"/>
    <x v="963"/>
    <n v="7"/>
  </r>
  <r>
    <x v="32"/>
    <x v="13"/>
    <x v="964"/>
    <n v="3"/>
  </r>
  <r>
    <x v="43"/>
    <x v="14"/>
    <x v="965"/>
    <n v="1"/>
  </r>
  <r>
    <x v="33"/>
    <x v="19"/>
    <x v="966"/>
    <n v="3"/>
  </r>
  <r>
    <x v="20"/>
    <x v="18"/>
    <x v="967"/>
    <n v="6"/>
  </r>
  <r>
    <x v="4"/>
    <x v="26"/>
    <x v="968"/>
    <n v="5"/>
  </r>
  <r>
    <x v="33"/>
    <x v="8"/>
    <x v="969"/>
    <n v="3"/>
  </r>
  <r>
    <x v="23"/>
    <x v="20"/>
    <x v="970"/>
    <n v="8"/>
  </r>
  <r>
    <x v="35"/>
    <x v="5"/>
    <x v="971"/>
    <n v="4"/>
  </r>
  <r>
    <x v="53"/>
    <x v="10"/>
    <x v="972"/>
    <n v="5"/>
  </r>
  <r>
    <x v="67"/>
    <x v="0"/>
    <x v="973"/>
    <n v="11"/>
  </r>
  <r>
    <x v="30"/>
    <x v="9"/>
    <x v="974"/>
    <n v="2"/>
  </r>
  <r>
    <x v="26"/>
    <x v="15"/>
    <x v="975"/>
    <n v="1"/>
  </r>
  <r>
    <x v="54"/>
    <x v="18"/>
    <x v="976"/>
    <n v="3"/>
  </r>
  <r>
    <x v="33"/>
    <x v="9"/>
    <x v="977"/>
    <n v="2"/>
  </r>
  <r>
    <x v="52"/>
    <x v="11"/>
    <x v="978"/>
    <n v="3"/>
  </r>
  <r>
    <x v="30"/>
    <x v="11"/>
    <x v="979"/>
    <n v="2"/>
  </r>
  <r>
    <x v="53"/>
    <x v="18"/>
    <x v="980"/>
    <n v="3"/>
  </r>
  <r>
    <x v="38"/>
    <x v="7"/>
    <x v="981"/>
    <n v="4"/>
  </r>
  <r>
    <x v="18"/>
    <x v="23"/>
    <x v="982"/>
    <n v="1"/>
  </r>
  <r>
    <x v="68"/>
    <x v="0"/>
    <x v="983"/>
    <n v="10"/>
  </r>
  <r>
    <x v="43"/>
    <x v="3"/>
    <x v="984"/>
    <n v="2"/>
  </r>
  <r>
    <x v="27"/>
    <x v="15"/>
    <x v="985"/>
    <n v="2"/>
  </r>
  <r>
    <x v="66"/>
    <x v="3"/>
    <x v="986"/>
    <n v="3"/>
  </r>
  <r>
    <x v="20"/>
    <x v="23"/>
    <x v="987"/>
    <n v="2"/>
  </r>
  <r>
    <x v="44"/>
    <x v="13"/>
    <x v="988"/>
    <n v="2"/>
  </r>
  <r>
    <x v="41"/>
    <x v="6"/>
    <x v="989"/>
    <n v="6"/>
  </r>
  <r>
    <x v="54"/>
    <x v="1"/>
    <x v="990"/>
    <n v="12"/>
  </r>
  <r>
    <x v="32"/>
    <x v="18"/>
    <x v="991"/>
    <n v="3"/>
  </r>
  <r>
    <x v="48"/>
    <x v="8"/>
    <x v="992"/>
    <n v="5"/>
  </r>
  <r>
    <x v="18"/>
    <x v="15"/>
    <x v="993"/>
    <n v="2"/>
  </r>
  <r>
    <x v="36"/>
    <x v="10"/>
    <x v="994"/>
    <n v="5"/>
  </r>
  <r>
    <x v="41"/>
    <x v="10"/>
    <x v="995"/>
    <n v="4"/>
  </r>
  <r>
    <x v="31"/>
    <x v="13"/>
    <x v="996"/>
    <n v="1"/>
  </r>
  <r>
    <x v="6"/>
    <x v="23"/>
    <x v="997"/>
    <n v="4"/>
  </r>
  <r>
    <x v="50"/>
    <x v="15"/>
    <x v="998"/>
    <n v="2"/>
  </r>
  <r>
    <x v="40"/>
    <x v="10"/>
    <x v="999"/>
    <n v="6"/>
  </r>
  <r>
    <x v="53"/>
    <x v="3"/>
    <x v="1000"/>
    <n v="3"/>
  </r>
  <r>
    <x v="24"/>
    <x v="23"/>
    <x v="1001"/>
    <n v="2"/>
  </r>
  <r>
    <x v="44"/>
    <x v="10"/>
    <x v="1002"/>
    <n v="7"/>
  </r>
  <r>
    <x v="45"/>
    <x v="10"/>
    <x v="1003"/>
    <n v="4"/>
  </r>
  <r>
    <x v="37"/>
    <x v="7"/>
    <x v="1004"/>
    <n v="3"/>
  </r>
  <r>
    <x v="40"/>
    <x v="18"/>
    <x v="1005"/>
    <n v="4"/>
  </r>
  <r>
    <x v="25"/>
    <x v="17"/>
    <x v="1006"/>
    <n v="13"/>
  </r>
  <r>
    <x v="16"/>
    <x v="23"/>
    <x v="1007"/>
    <n v="4"/>
  </r>
  <r>
    <x v="57"/>
    <x v="7"/>
    <x v="1008"/>
    <n v="4"/>
  </r>
  <r>
    <x v="36"/>
    <x v="9"/>
    <x v="1009"/>
    <n v="3"/>
  </r>
  <r>
    <x v="25"/>
    <x v="15"/>
    <x v="1010"/>
    <n v="14"/>
  </r>
  <r>
    <x v="53"/>
    <x v="6"/>
    <x v="1011"/>
    <n v="7"/>
  </r>
  <r>
    <x v="18"/>
    <x v="16"/>
    <x v="1012"/>
    <n v="1"/>
  </r>
  <r>
    <x v="55"/>
    <x v="2"/>
    <x v="1013"/>
    <n v="6"/>
  </r>
  <r>
    <x v="56"/>
    <x v="12"/>
    <x v="1014"/>
    <n v="4"/>
  </r>
  <r>
    <x v="57"/>
    <x v="10"/>
    <x v="1015"/>
    <n v="3"/>
  </r>
  <r>
    <x v="61"/>
    <x v="3"/>
    <x v="1016"/>
    <n v="3"/>
  </r>
  <r>
    <x v="46"/>
    <x v="18"/>
    <x v="1017"/>
    <n v="1"/>
  </r>
  <r>
    <x v="51"/>
    <x v="15"/>
    <x v="1018"/>
    <n v="4"/>
  </r>
  <r>
    <x v="69"/>
    <x v="0"/>
    <x v="1019"/>
    <n v="6"/>
  </r>
  <r>
    <x v="24"/>
    <x v="22"/>
    <x v="1020"/>
    <n v="2"/>
  </r>
  <r>
    <x v="24"/>
    <x v="25"/>
    <x v="1021"/>
    <n v="2"/>
  </r>
  <r>
    <x v="40"/>
    <x v="9"/>
    <x v="1022"/>
    <n v="5"/>
  </r>
  <r>
    <x v="29"/>
    <x v="9"/>
    <x v="1023"/>
    <n v="4"/>
  </r>
  <r>
    <x v="50"/>
    <x v="16"/>
    <x v="1024"/>
    <n v="3"/>
  </r>
  <r>
    <x v="25"/>
    <x v="16"/>
    <x v="1025"/>
    <n v="13"/>
  </r>
  <r>
    <x v="31"/>
    <x v="15"/>
    <x v="1026"/>
    <n v="2"/>
  </r>
  <r>
    <x v="42"/>
    <x v="21"/>
    <x v="1026"/>
    <n v="1"/>
  </r>
  <r>
    <x v="16"/>
    <x v="22"/>
    <x v="1027"/>
    <n v="4"/>
  </r>
  <r>
    <x v="23"/>
    <x v="22"/>
    <x v="1028"/>
    <n v="6"/>
  </r>
  <r>
    <x v="48"/>
    <x v="10"/>
    <x v="1029"/>
    <n v="5"/>
  </r>
  <r>
    <x v="20"/>
    <x v="22"/>
    <x v="1030"/>
    <n v="3"/>
  </r>
  <r>
    <x v="44"/>
    <x v="8"/>
    <x v="1031"/>
    <n v="4"/>
  </r>
  <r>
    <x v="30"/>
    <x v="19"/>
    <x v="1032"/>
    <n v="3"/>
  </r>
  <r>
    <x v="61"/>
    <x v="4"/>
    <x v="1033"/>
    <n v="2"/>
  </r>
  <r>
    <x v="60"/>
    <x v="5"/>
    <x v="1034"/>
    <n v="3"/>
  </r>
  <r>
    <x v="7"/>
    <x v="24"/>
    <x v="1035"/>
    <n v="2"/>
  </r>
  <r>
    <x v="47"/>
    <x v="7"/>
    <x v="1036"/>
    <n v="4"/>
  </r>
  <r>
    <x v="57"/>
    <x v="8"/>
    <x v="1037"/>
    <n v="5"/>
  </r>
  <r>
    <x v="51"/>
    <x v="11"/>
    <x v="1038"/>
    <n v="6"/>
  </r>
  <r>
    <x v="51"/>
    <x v="8"/>
    <x v="1039"/>
    <n v="4"/>
  </r>
  <r>
    <x v="36"/>
    <x v="19"/>
    <x v="1040"/>
    <n v="2"/>
  </r>
  <r>
    <x v="49"/>
    <x v="13"/>
    <x v="1041"/>
    <n v="1"/>
  </r>
  <r>
    <x v="52"/>
    <x v="10"/>
    <x v="1042"/>
    <n v="3"/>
  </r>
  <r>
    <x v="27"/>
    <x v="19"/>
    <x v="1043"/>
    <n v="4"/>
  </r>
  <r>
    <x v="31"/>
    <x v="10"/>
    <x v="1044"/>
    <n v="2"/>
  </r>
  <r>
    <x v="14"/>
    <x v="24"/>
    <x v="1045"/>
    <n v="4"/>
  </r>
  <r>
    <x v="10"/>
    <x v="25"/>
    <x v="1046"/>
    <n v="3"/>
  </r>
  <r>
    <x v="47"/>
    <x v="14"/>
    <x v="1047"/>
    <n v="5"/>
  </r>
  <r>
    <x v="48"/>
    <x v="19"/>
    <x v="1048"/>
    <n v="4"/>
  </r>
  <r>
    <x v="24"/>
    <x v="15"/>
    <x v="1049"/>
    <n v="1"/>
  </r>
  <r>
    <x v="34"/>
    <x v="17"/>
    <x v="1050"/>
    <n v="3"/>
  </r>
  <r>
    <x v="58"/>
    <x v="3"/>
    <x v="1050"/>
    <n v="1"/>
  </r>
  <r>
    <x v="9"/>
    <x v="24"/>
    <x v="1051"/>
    <n v="3"/>
  </r>
  <r>
    <x v="56"/>
    <x v="19"/>
    <x v="1052"/>
    <n v="3"/>
  </r>
  <r>
    <x v="37"/>
    <x v="19"/>
    <x v="1052"/>
    <n v="1"/>
  </r>
  <r>
    <x v="50"/>
    <x v="25"/>
    <x v="1053"/>
    <n v="2"/>
  </r>
  <r>
    <x v="18"/>
    <x v="24"/>
    <x v="1054"/>
    <n v="2"/>
  </r>
  <r>
    <x v="60"/>
    <x v="4"/>
    <x v="1055"/>
    <n v="2"/>
  </r>
  <r>
    <x v="43"/>
    <x v="4"/>
    <x v="1056"/>
    <n v="8"/>
  </r>
  <r>
    <x v="45"/>
    <x v="8"/>
    <x v="1057"/>
    <n v="5"/>
  </r>
  <r>
    <x v="51"/>
    <x v="9"/>
    <x v="1058"/>
    <n v="3"/>
  </r>
  <r>
    <x v="61"/>
    <x v="1"/>
    <x v="1059"/>
    <n v="5"/>
  </r>
  <r>
    <x v="13"/>
    <x v="26"/>
    <x v="1060"/>
    <n v="1"/>
  </r>
  <r>
    <x v="24"/>
    <x v="20"/>
    <x v="1061"/>
    <n v="3"/>
  </r>
  <r>
    <x v="65"/>
    <x v="6"/>
    <x v="1062"/>
    <n v="1"/>
  </r>
  <r>
    <x v="35"/>
    <x v="14"/>
    <x v="1063"/>
    <n v="3"/>
  </r>
  <r>
    <x v="17"/>
    <x v="18"/>
    <x v="1064"/>
    <n v="5"/>
  </r>
  <r>
    <x v="70"/>
    <x v="0"/>
    <x v="1065"/>
    <n v="4"/>
  </r>
  <r>
    <x v="36"/>
    <x v="4"/>
    <x v="1066"/>
    <n v="6"/>
  </r>
  <r>
    <x v="23"/>
    <x v="19"/>
    <x v="1067"/>
    <n v="5"/>
  </r>
  <r>
    <x v="33"/>
    <x v="7"/>
    <x v="1068"/>
    <n v="2"/>
  </r>
  <r>
    <x v="15"/>
    <x v="22"/>
    <x v="1069"/>
    <n v="3"/>
  </r>
  <r>
    <x v="20"/>
    <x v="25"/>
    <x v="1070"/>
    <n v="1"/>
  </r>
  <r>
    <x v="44"/>
    <x v="7"/>
    <x v="1071"/>
    <n v="3"/>
  </r>
  <r>
    <x v="37"/>
    <x v="22"/>
    <x v="1072"/>
    <n v="2"/>
  </r>
  <r>
    <x v="46"/>
    <x v="4"/>
    <x v="1073"/>
    <n v="3"/>
  </r>
  <r>
    <x v="47"/>
    <x v="9"/>
    <x v="1074"/>
    <n v="4"/>
  </r>
  <r>
    <x v="5"/>
    <x v="24"/>
    <x v="1075"/>
    <n v="2"/>
  </r>
  <r>
    <x v="43"/>
    <x v="20"/>
    <x v="1076"/>
    <n v="2"/>
  </r>
  <r>
    <x v="54"/>
    <x v="2"/>
    <x v="1077"/>
    <n v="4"/>
  </r>
  <r>
    <x v="49"/>
    <x v="4"/>
    <x v="1078"/>
    <n v="7"/>
  </r>
  <r>
    <x v="17"/>
    <x v="15"/>
    <x v="1078"/>
    <n v="3"/>
  </r>
  <r>
    <x v="66"/>
    <x v="2"/>
    <x v="1079"/>
    <n v="2"/>
  </r>
  <r>
    <x v="53"/>
    <x v="4"/>
    <x v="1080"/>
    <n v="6"/>
  </r>
  <r>
    <x v="64"/>
    <x v="2"/>
    <x v="1081"/>
    <n v="2"/>
  </r>
  <r>
    <x v="17"/>
    <x v="17"/>
    <x v="1082"/>
    <n v="2"/>
  </r>
  <r>
    <x v="27"/>
    <x v="21"/>
    <x v="1083"/>
    <n v="2"/>
  </r>
  <r>
    <x v="61"/>
    <x v="6"/>
    <x v="1084"/>
    <n v="2"/>
  </r>
  <r>
    <x v="52"/>
    <x v="12"/>
    <x v="1085"/>
    <n v="2"/>
  </r>
  <r>
    <x v="68"/>
    <x v="1"/>
    <x v="1086"/>
    <n v="7"/>
  </r>
  <r>
    <x v="27"/>
    <x v="18"/>
    <x v="1087"/>
    <n v="6"/>
  </r>
  <r>
    <x v="43"/>
    <x v="15"/>
    <x v="1088"/>
    <n v="2"/>
  </r>
  <r>
    <x v="35"/>
    <x v="20"/>
    <x v="1088"/>
    <n v="3"/>
  </r>
  <r>
    <x v="37"/>
    <x v="17"/>
    <x v="1089"/>
    <n v="1"/>
  </r>
  <r>
    <x v="56"/>
    <x v="4"/>
    <x v="1089"/>
    <n v="3"/>
  </r>
  <r>
    <x v="26"/>
    <x v="12"/>
    <x v="1090"/>
    <n v="2"/>
  </r>
  <r>
    <x v="50"/>
    <x v="9"/>
    <x v="1091"/>
    <n v="2"/>
  </r>
  <r>
    <x v="60"/>
    <x v="12"/>
    <x v="1091"/>
    <n v="2"/>
  </r>
  <r>
    <x v="51"/>
    <x v="3"/>
    <x v="1092"/>
    <n v="4"/>
  </r>
  <r>
    <x v="59"/>
    <x v="15"/>
    <x v="1092"/>
    <n v="1"/>
  </r>
  <r>
    <x v="59"/>
    <x v="8"/>
    <x v="1092"/>
    <n v="1"/>
  </r>
  <r>
    <x v="35"/>
    <x v="9"/>
    <x v="1093"/>
    <n v="2"/>
  </r>
  <r>
    <x v="32"/>
    <x v="22"/>
    <x v="1094"/>
    <n v="2"/>
  </r>
  <r>
    <x v="19"/>
    <x v="26"/>
    <x v="1095"/>
    <n v="2"/>
  </r>
  <r>
    <x v="25"/>
    <x v="21"/>
    <x v="1096"/>
    <n v="6"/>
  </r>
  <r>
    <x v="10"/>
    <x v="26"/>
    <x v="1097"/>
    <n v="1"/>
  </r>
  <r>
    <x v="12"/>
    <x v="24"/>
    <x v="1098"/>
    <n v="2"/>
  </r>
  <r>
    <x v="38"/>
    <x v="19"/>
    <x v="1099"/>
    <n v="4"/>
  </r>
  <r>
    <x v="27"/>
    <x v="7"/>
    <x v="1100"/>
    <n v="5"/>
  </r>
  <r>
    <x v="15"/>
    <x v="24"/>
    <x v="1101"/>
    <n v="2"/>
  </r>
  <r>
    <x v="9"/>
    <x v="25"/>
    <x v="1102"/>
    <n v="3"/>
  </r>
  <r>
    <x v="48"/>
    <x v="6"/>
    <x v="1103"/>
    <n v="4"/>
  </r>
  <r>
    <x v="36"/>
    <x v="24"/>
    <x v="1104"/>
    <n v="2"/>
  </r>
  <r>
    <x v="61"/>
    <x v="19"/>
    <x v="1105"/>
    <n v="1"/>
  </r>
  <r>
    <x v="61"/>
    <x v="8"/>
    <x v="1105"/>
    <n v="1"/>
  </r>
  <r>
    <x v="34"/>
    <x v="18"/>
    <x v="1106"/>
    <n v="2"/>
  </r>
  <r>
    <x v="37"/>
    <x v="20"/>
    <x v="1107"/>
    <n v="1"/>
  </r>
  <r>
    <x v="29"/>
    <x v="21"/>
    <x v="1108"/>
    <n v="1"/>
  </r>
  <r>
    <x v="23"/>
    <x v="16"/>
    <x v="1109"/>
    <n v="4"/>
  </r>
  <r>
    <x v="22"/>
    <x v="13"/>
    <x v="1110"/>
    <n v="1"/>
  </r>
  <r>
    <x v="69"/>
    <x v="3"/>
    <x v="1111"/>
    <n v="3"/>
  </r>
  <r>
    <x v="41"/>
    <x v="19"/>
    <x v="1112"/>
    <n v="1"/>
  </r>
  <r>
    <x v="44"/>
    <x v="16"/>
    <x v="1113"/>
    <n v="2"/>
  </r>
  <r>
    <x v="37"/>
    <x v="9"/>
    <x v="1113"/>
    <n v="1"/>
  </r>
  <r>
    <x v="8"/>
    <x v="26"/>
    <x v="1113"/>
    <n v="1"/>
  </r>
  <r>
    <x v="32"/>
    <x v="19"/>
    <x v="1114"/>
    <n v="2"/>
  </r>
  <r>
    <x v="2"/>
    <x v="26"/>
    <x v="1115"/>
    <n v="1"/>
  </r>
  <r>
    <x v="29"/>
    <x v="20"/>
    <x v="1115"/>
    <n v="1"/>
  </r>
  <r>
    <x v="51"/>
    <x v="19"/>
    <x v="1116"/>
    <n v="1"/>
  </r>
  <r>
    <x v="5"/>
    <x v="23"/>
    <x v="1117"/>
    <n v="4"/>
  </r>
  <r>
    <x v="22"/>
    <x v="19"/>
    <x v="1118"/>
    <n v="1"/>
  </r>
  <r>
    <x v="12"/>
    <x v="26"/>
    <x v="1118"/>
    <n v="2"/>
  </r>
  <r>
    <x v="40"/>
    <x v="13"/>
    <x v="1119"/>
    <n v="3"/>
  </r>
  <r>
    <x v="15"/>
    <x v="20"/>
    <x v="1120"/>
    <n v="3"/>
  </r>
  <r>
    <x v="27"/>
    <x v="16"/>
    <x v="1121"/>
    <n v="3"/>
  </r>
  <r>
    <x v="64"/>
    <x v="17"/>
    <x v="1122"/>
    <n v="1"/>
  </r>
  <r>
    <x v="62"/>
    <x v="10"/>
    <x v="1123"/>
    <n v="2"/>
  </r>
  <r>
    <x v="47"/>
    <x v="22"/>
    <x v="1124"/>
    <n v="2"/>
  </r>
  <r>
    <x v="53"/>
    <x v="7"/>
    <x v="1125"/>
    <n v="2"/>
  </r>
  <r>
    <x v="31"/>
    <x v="5"/>
    <x v="1125"/>
    <n v="3"/>
  </r>
  <r>
    <x v="45"/>
    <x v="18"/>
    <x v="1126"/>
    <n v="4"/>
  </r>
  <r>
    <x v="50"/>
    <x v="22"/>
    <x v="1127"/>
    <n v="1"/>
  </r>
  <r>
    <x v="50"/>
    <x v="19"/>
    <x v="1127"/>
    <n v="1"/>
  </r>
  <r>
    <x v="35"/>
    <x v="16"/>
    <x v="1128"/>
    <n v="1"/>
  </r>
  <r>
    <x v="33"/>
    <x v="17"/>
    <x v="1128"/>
    <n v="1"/>
  </r>
  <r>
    <x v="56"/>
    <x v="7"/>
    <x v="1129"/>
    <n v="2"/>
  </r>
  <r>
    <x v="56"/>
    <x v="18"/>
    <x v="1129"/>
    <n v="1"/>
  </r>
  <r>
    <x v="47"/>
    <x v="10"/>
    <x v="1130"/>
    <n v="2"/>
  </r>
  <r>
    <x v="63"/>
    <x v="1"/>
    <x v="1131"/>
    <n v="2"/>
  </r>
  <r>
    <x v="38"/>
    <x v="18"/>
    <x v="1132"/>
    <n v="1"/>
  </r>
  <r>
    <x v="27"/>
    <x v="23"/>
    <x v="1133"/>
    <n v="2"/>
  </r>
  <r>
    <x v="57"/>
    <x v="4"/>
    <x v="1134"/>
    <n v="6"/>
  </r>
  <r>
    <x v="49"/>
    <x v="7"/>
    <x v="1135"/>
    <n v="1"/>
  </r>
  <r>
    <x v="49"/>
    <x v="14"/>
    <x v="1135"/>
    <n v="1"/>
  </r>
  <r>
    <x v="40"/>
    <x v="16"/>
    <x v="1136"/>
    <n v="1"/>
  </r>
  <r>
    <x v="38"/>
    <x v="15"/>
    <x v="1137"/>
    <n v="1"/>
  </r>
  <r>
    <x v="13"/>
    <x v="23"/>
    <x v="1138"/>
    <n v="2"/>
  </r>
  <r>
    <x v="34"/>
    <x v="13"/>
    <x v="1139"/>
    <n v="3"/>
  </r>
  <r>
    <x v="71"/>
    <x v="21"/>
    <x v="1140"/>
    <n v="1"/>
  </r>
  <r>
    <x v="53"/>
    <x v="12"/>
    <x v="1141"/>
    <n v="3"/>
  </r>
  <r>
    <x v="48"/>
    <x v="18"/>
    <x v="1142"/>
    <n v="2"/>
  </r>
  <r>
    <x v="44"/>
    <x v="23"/>
    <x v="1143"/>
    <n v="1"/>
  </r>
  <r>
    <x v="32"/>
    <x v="12"/>
    <x v="1144"/>
    <n v="1"/>
  </r>
  <r>
    <x v="43"/>
    <x v="18"/>
    <x v="1145"/>
    <n v="1"/>
  </r>
  <r>
    <x v="38"/>
    <x v="22"/>
    <x v="1146"/>
    <n v="1"/>
  </r>
  <r>
    <x v="19"/>
    <x v="20"/>
    <x v="1147"/>
    <n v="2"/>
  </r>
  <r>
    <x v="16"/>
    <x v="20"/>
    <x v="1148"/>
    <n v="3"/>
  </r>
  <r>
    <x v="34"/>
    <x v="12"/>
    <x v="1149"/>
    <n v="3"/>
  </r>
  <r>
    <x v="47"/>
    <x v="18"/>
    <x v="1150"/>
    <n v="4"/>
  </r>
  <r>
    <x v="46"/>
    <x v="20"/>
    <x v="1151"/>
    <n v="1"/>
  </r>
  <r>
    <x v="41"/>
    <x v="12"/>
    <x v="1152"/>
    <n v="2"/>
  </r>
  <r>
    <x v="50"/>
    <x v="21"/>
    <x v="1153"/>
    <n v="1"/>
  </r>
  <r>
    <x v="64"/>
    <x v="6"/>
    <x v="1154"/>
    <n v="3"/>
  </r>
  <r>
    <x v="48"/>
    <x v="15"/>
    <x v="1155"/>
    <n v="3"/>
  </r>
  <r>
    <x v="57"/>
    <x v="9"/>
    <x v="1156"/>
    <n v="2"/>
  </r>
  <r>
    <x v="64"/>
    <x v="12"/>
    <x v="1157"/>
    <n v="1"/>
  </r>
  <r>
    <x v="43"/>
    <x v="10"/>
    <x v="1158"/>
    <n v="1"/>
  </r>
  <r>
    <x v="54"/>
    <x v="3"/>
    <x v="1159"/>
    <n v="4"/>
  </r>
  <r>
    <x v="56"/>
    <x v="17"/>
    <x v="1160"/>
    <n v="1"/>
  </r>
  <r>
    <x v="53"/>
    <x v="19"/>
    <x v="1161"/>
    <n v="1"/>
  </r>
  <r>
    <x v="45"/>
    <x v="9"/>
    <x v="1162"/>
    <n v="2"/>
  </r>
  <r>
    <x v="35"/>
    <x v="15"/>
    <x v="1163"/>
    <n v="1"/>
  </r>
  <r>
    <x v="44"/>
    <x v="21"/>
    <x v="1164"/>
    <n v="1"/>
  </r>
  <r>
    <x v="40"/>
    <x v="23"/>
    <x v="1165"/>
    <n v="1"/>
  </r>
  <r>
    <x v="58"/>
    <x v="9"/>
    <x v="1165"/>
    <n v="1"/>
  </r>
  <r>
    <x v="40"/>
    <x v="19"/>
    <x v="1165"/>
    <n v="1"/>
  </r>
  <r>
    <x v="46"/>
    <x v="12"/>
    <x v="1166"/>
    <n v="1"/>
  </r>
  <r>
    <x v="47"/>
    <x v="12"/>
    <x v="1167"/>
    <n v="2"/>
  </r>
  <r>
    <x v="41"/>
    <x v="21"/>
    <x v="1168"/>
    <n v="2"/>
  </r>
  <r>
    <x v="25"/>
    <x v="22"/>
    <x v="1169"/>
    <n v="6"/>
  </r>
  <r>
    <x v="52"/>
    <x v="14"/>
    <x v="1170"/>
    <n v="1"/>
  </r>
  <r>
    <x v="53"/>
    <x v="8"/>
    <x v="1171"/>
    <n v="2"/>
  </r>
  <r>
    <x v="41"/>
    <x v="24"/>
    <x v="1172"/>
    <n v="2"/>
  </r>
  <r>
    <x v="31"/>
    <x v="16"/>
    <x v="1173"/>
    <n v="1"/>
  </r>
  <r>
    <x v="27"/>
    <x v="22"/>
    <x v="1174"/>
    <n v="1"/>
  </r>
  <r>
    <x v="50"/>
    <x v="13"/>
    <x v="1175"/>
    <n v="1"/>
  </r>
  <r>
    <x v="31"/>
    <x v="9"/>
    <x v="1176"/>
    <n v="1"/>
  </r>
  <r>
    <x v="32"/>
    <x v="21"/>
    <x v="1177"/>
    <n v="1"/>
  </r>
  <r>
    <x v="48"/>
    <x v="12"/>
    <x v="1177"/>
    <n v="1"/>
  </r>
  <r>
    <x v="57"/>
    <x v="21"/>
    <x v="1178"/>
    <n v="2"/>
  </r>
  <r>
    <x v="42"/>
    <x v="15"/>
    <x v="1178"/>
    <n v="1"/>
  </r>
  <r>
    <x v="66"/>
    <x v="10"/>
    <x v="1179"/>
    <n v="1"/>
  </r>
  <r>
    <x v="55"/>
    <x v="3"/>
    <x v="1180"/>
    <n v="2"/>
  </r>
  <r>
    <x v="35"/>
    <x v="11"/>
    <x v="1181"/>
    <n v="2"/>
  </r>
  <r>
    <x v="34"/>
    <x v="20"/>
    <x v="1182"/>
    <n v="1"/>
  </r>
  <r>
    <x v="34"/>
    <x v="19"/>
    <x v="1183"/>
    <n v="1"/>
  </r>
  <r>
    <x v="48"/>
    <x v="23"/>
    <x v="1184"/>
    <n v="2"/>
  </r>
  <r>
    <x v="41"/>
    <x v="18"/>
    <x v="1185"/>
    <n v="1"/>
  </r>
  <r>
    <x v="55"/>
    <x v="12"/>
    <x v="1186"/>
    <n v="1"/>
  </r>
  <r>
    <x v="7"/>
    <x v="26"/>
    <x v="1186"/>
    <n v="2"/>
  </r>
  <r>
    <x v="62"/>
    <x v="8"/>
    <x v="1187"/>
    <n v="1"/>
  </r>
  <r>
    <x v="64"/>
    <x v="1"/>
    <x v="1188"/>
    <n v="2"/>
  </r>
  <r>
    <x v="44"/>
    <x v="15"/>
    <x v="1188"/>
    <n v="2"/>
  </r>
  <r>
    <x v="65"/>
    <x v="8"/>
    <x v="1189"/>
    <n v="1"/>
  </r>
  <r>
    <x v="43"/>
    <x v="7"/>
    <x v="1190"/>
    <n v="1"/>
  </r>
  <r>
    <x v="31"/>
    <x v="22"/>
    <x v="1190"/>
    <n v="1"/>
  </r>
  <r>
    <x v="57"/>
    <x v="11"/>
    <x v="1191"/>
    <n v="2"/>
  </r>
  <r>
    <x v="35"/>
    <x v="17"/>
    <x v="1192"/>
    <n v="1"/>
  </r>
  <r>
    <x v="64"/>
    <x v="5"/>
    <x v="1193"/>
    <n v="2"/>
  </r>
  <r>
    <x v="55"/>
    <x v="4"/>
    <x v="1194"/>
    <n v="2"/>
  </r>
  <r>
    <x v="54"/>
    <x v="8"/>
    <x v="1195"/>
    <n v="3"/>
  </r>
  <r>
    <x v="47"/>
    <x v="19"/>
    <x v="1196"/>
    <n v="2"/>
  </r>
  <r>
    <x v="28"/>
    <x v="20"/>
    <x v="1197"/>
    <n v="1"/>
  </r>
  <r>
    <x v="51"/>
    <x v="20"/>
    <x v="1198"/>
    <n v="1"/>
  </r>
  <r>
    <x v="59"/>
    <x v="6"/>
    <x v="1199"/>
    <n v="2"/>
  </r>
  <r>
    <x v="60"/>
    <x v="10"/>
    <x v="1200"/>
    <n v="1"/>
  </r>
  <r>
    <x v="44"/>
    <x v="18"/>
    <x v="1201"/>
    <n v="2"/>
  </r>
  <r>
    <x v="57"/>
    <x v="17"/>
    <x v="1202"/>
    <n v="1"/>
  </r>
  <r>
    <x v="62"/>
    <x v="11"/>
    <x v="1203"/>
    <n v="1"/>
  </r>
  <r>
    <x v="41"/>
    <x v="13"/>
    <x v="1204"/>
    <n v="1"/>
  </r>
  <r>
    <x v="41"/>
    <x v="7"/>
    <x v="1204"/>
    <n v="1"/>
  </r>
  <r>
    <x v="53"/>
    <x v="11"/>
    <x v="1205"/>
    <n v="1"/>
  </r>
  <r>
    <x v="70"/>
    <x v="1"/>
    <x v="1205"/>
    <n v="1"/>
  </r>
  <r>
    <x v="67"/>
    <x v="3"/>
    <x v="1206"/>
    <n v="1"/>
  </r>
  <r>
    <x v="62"/>
    <x v="13"/>
    <x v="1207"/>
    <n v="1"/>
  </r>
  <r>
    <x v="62"/>
    <x v="1"/>
    <x v="1207"/>
    <n v="2"/>
  </r>
  <r>
    <x v="68"/>
    <x v="7"/>
    <x v="1207"/>
    <n v="1"/>
  </r>
  <r>
    <x v="47"/>
    <x v="17"/>
    <x v="1208"/>
    <n v="3"/>
  </r>
  <r>
    <x v="45"/>
    <x v="12"/>
    <x v="1209"/>
    <n v="1"/>
  </r>
  <r>
    <x v="54"/>
    <x v="4"/>
    <x v="1210"/>
    <n v="3"/>
  </r>
  <r>
    <x v="51"/>
    <x v="17"/>
    <x v="1211"/>
    <n v="2"/>
  </r>
  <r>
    <x v="44"/>
    <x v="19"/>
    <x v="1212"/>
    <n v="2"/>
  </r>
  <r>
    <x v="14"/>
    <x v="26"/>
    <x v="1213"/>
    <n v="4"/>
  </r>
  <r>
    <x v="48"/>
    <x v="21"/>
    <x v="1214"/>
    <n v="2"/>
  </r>
  <r>
    <x v="71"/>
    <x v="8"/>
    <x v="1215"/>
    <n v="1"/>
  </r>
  <r>
    <x v="7"/>
    <x v="25"/>
    <x v="1216"/>
    <n v="1"/>
  </r>
  <r>
    <x v="60"/>
    <x v="8"/>
    <x v="1217"/>
    <n v="1"/>
  </r>
  <r>
    <x v="43"/>
    <x v="11"/>
    <x v="1218"/>
    <n v="1"/>
  </r>
  <r>
    <x v="17"/>
    <x v="21"/>
    <x v="1218"/>
    <n v="1"/>
  </r>
  <r>
    <x v="56"/>
    <x v="3"/>
    <x v="1219"/>
    <n v="1"/>
  </r>
  <r>
    <x v="56"/>
    <x v="10"/>
    <x v="1219"/>
    <n v="1"/>
  </r>
  <r>
    <x v="40"/>
    <x v="21"/>
    <x v="1220"/>
    <n v="1"/>
  </r>
  <r>
    <x v="63"/>
    <x v="4"/>
    <x v="1221"/>
    <n v="2"/>
  </r>
  <r>
    <x v="68"/>
    <x v="2"/>
    <x v="1222"/>
    <n v="4"/>
  </r>
  <r>
    <x v="60"/>
    <x v="11"/>
    <x v="1223"/>
    <n v="1"/>
  </r>
  <r>
    <x v="10"/>
    <x v="23"/>
    <x v="1224"/>
    <n v="2"/>
  </r>
  <r>
    <x v="49"/>
    <x v="9"/>
    <x v="1225"/>
    <n v="1"/>
  </r>
  <r>
    <x v="51"/>
    <x v="6"/>
    <x v="1226"/>
    <n v="3"/>
  </r>
  <r>
    <x v="45"/>
    <x v="19"/>
    <x v="1227"/>
    <n v="1"/>
  </r>
  <r>
    <x v="69"/>
    <x v="1"/>
    <x v="1227"/>
    <n v="2"/>
  </r>
  <r>
    <x v="36"/>
    <x v="17"/>
    <x v="1227"/>
    <n v="1"/>
  </r>
  <r>
    <x v="70"/>
    <x v="5"/>
    <x v="1228"/>
    <n v="1"/>
  </r>
  <r>
    <x v="23"/>
    <x v="25"/>
    <x v="1229"/>
    <n v="1"/>
  </r>
  <r>
    <x v="35"/>
    <x v="18"/>
    <x v="1229"/>
    <n v="1"/>
  </r>
  <r>
    <x v="29"/>
    <x v="16"/>
    <x v="1229"/>
    <n v="1"/>
  </r>
  <r>
    <x v="38"/>
    <x v="23"/>
    <x v="1229"/>
    <n v="1"/>
  </r>
  <r>
    <x v="29"/>
    <x v="15"/>
    <x v="1229"/>
    <n v="1"/>
  </r>
  <r>
    <x v="62"/>
    <x v="4"/>
    <x v="1229"/>
    <n v="2"/>
  </r>
  <r>
    <x v="70"/>
    <x v="6"/>
    <x v="1230"/>
    <n v="2"/>
  </r>
  <r>
    <x v="52"/>
    <x v="6"/>
    <x v="1230"/>
    <n v="2"/>
  </r>
  <r>
    <x v="36"/>
    <x v="7"/>
    <x v="1231"/>
    <n v="3"/>
  </r>
  <r>
    <x v="33"/>
    <x v="23"/>
    <x v="1232"/>
    <n v="1"/>
  </r>
  <r>
    <x v="30"/>
    <x v="21"/>
    <x v="1233"/>
    <n v="1"/>
  </r>
  <r>
    <x v="34"/>
    <x v="23"/>
    <x v="1234"/>
    <n v="1"/>
  </r>
  <r>
    <x v="29"/>
    <x v="18"/>
    <x v="1235"/>
    <n v="1"/>
  </r>
  <r>
    <x v="29"/>
    <x v="13"/>
    <x v="1235"/>
    <n v="1"/>
  </r>
  <r>
    <x v="20"/>
    <x v="24"/>
    <x v="1236"/>
    <n v="1"/>
  </r>
  <r>
    <x v="59"/>
    <x v="10"/>
    <x v="1237"/>
    <n v="1"/>
  </r>
  <r>
    <x v="27"/>
    <x v="20"/>
    <x v="1238"/>
    <n v="1"/>
  </r>
  <r>
    <x v="41"/>
    <x v="15"/>
    <x v="1239"/>
    <n v="1"/>
  </r>
  <r>
    <x v="32"/>
    <x v="25"/>
    <x v="1240"/>
    <n v="1"/>
  </r>
  <r>
    <x v="57"/>
    <x v="14"/>
    <x v="1240"/>
    <n v="1"/>
  </r>
  <r>
    <x v="35"/>
    <x v="21"/>
    <x v="1240"/>
    <n v="1"/>
  </r>
  <r>
    <x v="26"/>
    <x v="22"/>
    <x v="1240"/>
    <n v="1"/>
  </r>
  <r>
    <x v="53"/>
    <x v="14"/>
    <x v="1240"/>
    <n v="1"/>
  </r>
  <r>
    <x v="38"/>
    <x v="13"/>
    <x v="1241"/>
    <n v="1"/>
  </r>
  <r>
    <x v="42"/>
    <x v="20"/>
    <x v="1242"/>
    <n v="1"/>
  </r>
  <r>
    <x v="68"/>
    <x v="11"/>
    <x v="1243"/>
    <n v="2"/>
  </r>
  <r>
    <x v="46"/>
    <x v="7"/>
    <x v="1244"/>
    <n v="1"/>
  </r>
  <r>
    <x v="55"/>
    <x v="5"/>
    <x v="1245"/>
    <n v="1"/>
  </r>
  <r>
    <x v="68"/>
    <x v="3"/>
    <x v="1246"/>
    <n v="3"/>
  </r>
  <r>
    <x v="46"/>
    <x v="15"/>
    <x v="1247"/>
    <n v="1"/>
  </r>
  <r>
    <x v="36"/>
    <x v="8"/>
    <x v="1248"/>
    <n v="3"/>
  </r>
  <r>
    <x v="41"/>
    <x v="14"/>
    <x v="1249"/>
    <n v="1"/>
  </r>
  <r>
    <x v="36"/>
    <x v="20"/>
    <x v="1250"/>
    <n v="1"/>
  </r>
  <r>
    <x v="40"/>
    <x v="15"/>
    <x v="1251"/>
    <n v="2"/>
  </r>
  <r>
    <x v="57"/>
    <x v="25"/>
    <x v="1251"/>
    <n v="1"/>
  </r>
  <r>
    <x v="35"/>
    <x v="22"/>
    <x v="1252"/>
    <n v="1"/>
  </r>
  <r>
    <x v="19"/>
    <x v="25"/>
    <x v="1253"/>
    <n v="2"/>
  </r>
  <r>
    <x v="47"/>
    <x v="15"/>
    <x v="1254"/>
    <n v="1"/>
  </r>
  <r>
    <x v="69"/>
    <x v="17"/>
    <x v="1254"/>
    <n v="1"/>
  </r>
  <r>
    <x v="62"/>
    <x v="5"/>
    <x v="1255"/>
    <n v="1"/>
  </r>
  <r>
    <x v="51"/>
    <x v="12"/>
    <x v="1256"/>
    <n v="1"/>
  </r>
  <r>
    <x v="67"/>
    <x v="10"/>
    <x v="1257"/>
    <n v="4"/>
  </r>
  <r>
    <x v="44"/>
    <x v="25"/>
    <x v="1258"/>
    <n v="1"/>
  </r>
  <r>
    <x v="44"/>
    <x v="22"/>
    <x v="1258"/>
    <n v="1"/>
  </r>
  <r>
    <x v="61"/>
    <x v="11"/>
    <x v="1259"/>
    <n v="2"/>
  </r>
  <r>
    <x v="34"/>
    <x v="16"/>
    <x v="1260"/>
    <n v="1"/>
  </r>
  <r>
    <x v="63"/>
    <x v="9"/>
    <x v="1261"/>
    <n v="1"/>
  </r>
  <r>
    <x v="52"/>
    <x v="17"/>
    <x v="1262"/>
    <n v="1"/>
  </r>
  <r>
    <x v="55"/>
    <x v="20"/>
    <x v="1263"/>
    <n v="1"/>
  </r>
  <r>
    <x v="16"/>
    <x v="24"/>
    <x v="1264"/>
    <n v="1"/>
  </r>
  <r>
    <x v="25"/>
    <x v="23"/>
    <x v="1265"/>
    <n v="4"/>
  </r>
  <r>
    <x v="41"/>
    <x v="23"/>
    <x v="1266"/>
    <n v="1"/>
  </r>
  <r>
    <x v="17"/>
    <x v="25"/>
    <x v="1267"/>
    <n v="1"/>
  </r>
  <r>
    <x v="67"/>
    <x v="1"/>
    <x v="1268"/>
    <n v="2"/>
  </r>
  <r>
    <x v="56"/>
    <x v="14"/>
    <x v="1269"/>
    <n v="2"/>
  </r>
  <r>
    <x v="58"/>
    <x v="8"/>
    <x v="1270"/>
    <n v="1"/>
  </r>
  <r>
    <x v="56"/>
    <x v="23"/>
    <x v="1271"/>
    <n v="1"/>
  </r>
  <r>
    <x v="22"/>
    <x v="17"/>
    <x v="1272"/>
    <n v="1"/>
  </r>
  <r>
    <x v="64"/>
    <x v="3"/>
    <x v="1273"/>
    <n v="2"/>
  </r>
  <r>
    <x v="41"/>
    <x v="11"/>
    <x v="1274"/>
    <n v="1"/>
  </r>
  <r>
    <x v="64"/>
    <x v="4"/>
    <x v="1274"/>
    <n v="1"/>
  </r>
  <r>
    <x v="60"/>
    <x v="17"/>
    <x v="1275"/>
    <n v="1"/>
  </r>
  <r>
    <x v="60"/>
    <x v="7"/>
    <x v="1275"/>
    <n v="1"/>
  </r>
  <r>
    <x v="31"/>
    <x v="12"/>
    <x v="1276"/>
    <n v="1"/>
  </r>
  <r>
    <x v="31"/>
    <x v="11"/>
    <x v="1277"/>
    <n v="1"/>
  </r>
  <r>
    <x v="45"/>
    <x v="23"/>
    <x v="1278"/>
    <n v="1"/>
  </r>
  <r>
    <x v="63"/>
    <x v="13"/>
    <x v="1279"/>
    <n v="1"/>
  </r>
  <r>
    <x v="34"/>
    <x v="21"/>
    <x v="1280"/>
    <n v="1"/>
  </r>
  <r>
    <x v="54"/>
    <x v="6"/>
    <x v="1281"/>
    <n v="2"/>
  </r>
  <r>
    <x v="34"/>
    <x v="14"/>
    <x v="1282"/>
    <n v="2"/>
  </r>
  <r>
    <x v="51"/>
    <x v="16"/>
    <x v="1283"/>
    <n v="1"/>
  </r>
  <r>
    <x v="61"/>
    <x v="10"/>
    <x v="1284"/>
    <n v="1"/>
  </r>
  <r>
    <x v="63"/>
    <x v="2"/>
    <x v="1285"/>
    <n v="1"/>
  </r>
  <r>
    <x v="15"/>
    <x v="26"/>
    <x v="1286"/>
    <n v="1"/>
  </r>
  <r>
    <x v="18"/>
    <x v="21"/>
    <x v="1287"/>
    <n v="1"/>
  </r>
  <r>
    <x v="67"/>
    <x v="2"/>
    <x v="1288"/>
    <n v="3"/>
  </r>
  <r>
    <x v="63"/>
    <x v="5"/>
    <x v="1289"/>
    <n v="1"/>
  </r>
  <r>
    <x v="18"/>
    <x v="22"/>
    <x v="1290"/>
    <n v="1"/>
  </r>
  <r>
    <x v="18"/>
    <x v="25"/>
    <x v="1290"/>
    <n v="1"/>
  </r>
  <r>
    <x v="33"/>
    <x v="13"/>
    <x v="1291"/>
    <n v="1"/>
  </r>
  <r>
    <x v="57"/>
    <x v="18"/>
    <x v="1292"/>
    <n v="1"/>
  </r>
  <r>
    <x v="62"/>
    <x v="14"/>
    <x v="1293"/>
    <n v="1"/>
  </r>
  <r>
    <x v="54"/>
    <x v="7"/>
    <x v="1294"/>
    <n v="2"/>
  </r>
  <r>
    <x v="36"/>
    <x v="18"/>
    <x v="1295"/>
    <n v="1"/>
  </r>
  <r>
    <x v="34"/>
    <x v="22"/>
    <x v="1296"/>
    <n v="1"/>
  </r>
  <r>
    <x v="68"/>
    <x v="18"/>
    <x v="1297"/>
    <n v="1"/>
  </r>
  <r>
    <x v="52"/>
    <x v="9"/>
    <x v="1298"/>
    <n v="1"/>
  </r>
  <r>
    <x v="56"/>
    <x v="9"/>
    <x v="1298"/>
    <n v="1"/>
  </r>
  <r>
    <x v="37"/>
    <x v="12"/>
    <x v="1299"/>
    <n v="1"/>
  </r>
  <r>
    <x v="50"/>
    <x v="17"/>
    <x v="1300"/>
    <n v="1"/>
  </r>
  <r>
    <x v="25"/>
    <x v="26"/>
    <x v="1301"/>
    <n v="2"/>
  </r>
  <r>
    <x v="49"/>
    <x v="12"/>
    <x v="1302"/>
    <n v="1"/>
  </r>
  <r>
    <x v="54"/>
    <x v="19"/>
    <x v="1303"/>
    <n v="1"/>
  </r>
  <r>
    <x v="68"/>
    <x v="10"/>
    <x v="1304"/>
    <n v="1"/>
  </r>
  <r>
    <x v="64"/>
    <x v="8"/>
    <x v="1304"/>
    <n v="1"/>
  </r>
  <r>
    <x v="55"/>
    <x v="6"/>
    <x v="1305"/>
    <n v="1"/>
  </r>
  <r>
    <x v="54"/>
    <x v="21"/>
    <x v="1306"/>
    <n v="1"/>
  </r>
  <r>
    <x v="54"/>
    <x v="16"/>
    <x v="1306"/>
    <n v="1"/>
  </r>
  <r>
    <x v="36"/>
    <x v="23"/>
    <x v="1307"/>
    <n v="1"/>
  </r>
  <r>
    <x v="20"/>
    <x v="21"/>
    <x v="1308"/>
    <n v="1"/>
  </r>
  <r>
    <x v="62"/>
    <x v="6"/>
    <x v="1308"/>
    <n v="1"/>
  </r>
  <r>
    <x v="54"/>
    <x v="10"/>
    <x v="1308"/>
    <n v="1"/>
  </r>
  <r>
    <x v="57"/>
    <x v="15"/>
    <x v="1309"/>
    <n v="1"/>
  </r>
  <r>
    <x v="45"/>
    <x v="14"/>
    <x v="1310"/>
    <n v="1"/>
  </r>
  <r>
    <x v="51"/>
    <x v="18"/>
    <x v="1311"/>
    <n v="1"/>
  </r>
  <r>
    <x v="40"/>
    <x v="20"/>
    <x v="1312"/>
    <n v="1"/>
  </r>
  <r>
    <x v="54"/>
    <x v="15"/>
    <x v="1313"/>
    <n v="1"/>
  </r>
  <r>
    <x v="58"/>
    <x v="23"/>
    <x v="1314"/>
    <n v="1"/>
  </r>
  <r>
    <x v="45"/>
    <x v="16"/>
    <x v="1315"/>
    <n v="1"/>
  </r>
  <r>
    <x v="67"/>
    <x v="5"/>
    <x v="1316"/>
    <n v="1"/>
  </r>
  <r>
    <x v="67"/>
    <x v="4"/>
    <x v="1316"/>
    <n v="1"/>
  </r>
  <r>
    <x v="67"/>
    <x v="11"/>
    <x v="1316"/>
    <n v="1"/>
  </r>
  <r>
    <x v="49"/>
    <x v="18"/>
    <x v="1317"/>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x v="0"/>
    <x v="0"/>
    <n v="181970.65"/>
    <n v="8800"/>
  </r>
  <r>
    <x v="1"/>
    <x v="1"/>
    <n v="100107.26"/>
    <n v="5604"/>
  </r>
  <r>
    <x v="2"/>
    <x v="2"/>
    <n v="204422.07"/>
    <n v="9399"/>
  </r>
  <r>
    <x v="3"/>
    <x v="3"/>
    <n v="167503.71"/>
    <n v="7673"/>
  </r>
  <r>
    <x v="4"/>
    <x v="4"/>
    <n v="146619.56"/>
    <n v="6654"/>
  </r>
  <r>
    <x v="5"/>
    <x v="5"/>
    <n v="172160.99"/>
    <n v="6425"/>
  </r>
  <r>
    <x v="6"/>
    <x v="6"/>
    <n v="145209.34"/>
    <n v="5847"/>
  </r>
  <r>
    <x v="7"/>
    <x v="7"/>
    <n v="83315.75"/>
    <n v="3616"/>
  </r>
  <r>
    <x v="8"/>
    <x v="8"/>
    <n v="92020.91"/>
    <n v="3872"/>
  </r>
  <r>
    <x v="9"/>
    <x v="9"/>
    <n v="98515.26"/>
    <n v="3505"/>
  </r>
  <r>
    <x v="10"/>
    <x v="10"/>
    <n v="76974.75"/>
    <n v="3855"/>
  </r>
  <r>
    <x v="11"/>
    <x v="11"/>
    <n v="68007.8"/>
    <n v="2868"/>
  </r>
  <r>
    <x v="12"/>
    <x v="12"/>
    <n v="53981.16"/>
    <n v="3146"/>
  </r>
  <r>
    <x v="13"/>
    <x v="13"/>
    <n v="70963.38"/>
    <n v="4183"/>
  </r>
  <r>
    <x v="14"/>
    <x v="14"/>
    <n v="68492.320000000007"/>
    <n v="1272"/>
  </r>
  <r>
    <x v="15"/>
    <x v="15"/>
    <n v="46558.34"/>
    <n v="2299"/>
  </r>
  <r>
    <x v="16"/>
    <x v="16"/>
    <n v="9836.2999999999993"/>
    <n v="181"/>
  </r>
  <r>
    <x v="17"/>
    <x v="17"/>
    <n v="39410.33"/>
    <n v="1706"/>
  </r>
  <r>
    <x v="18"/>
    <x v="18"/>
    <n v="15824.24"/>
    <n v="622"/>
  </r>
  <r>
    <x v="19"/>
    <x v="19"/>
    <n v="18232.88"/>
    <n v="620"/>
  </r>
  <r>
    <x v="20"/>
    <x v="20"/>
    <n v="28369.31"/>
    <n v="1457"/>
  </r>
  <r>
    <x v="21"/>
    <x v="21"/>
    <n v="46337.23"/>
    <n v="2543"/>
  </r>
  <r>
    <x v="22"/>
    <x v="22"/>
    <n v="19712.330000000002"/>
    <n v="1054"/>
  </r>
  <r>
    <x v="23"/>
    <x v="23"/>
    <n v="31312.01"/>
    <n v="1858"/>
  </r>
  <r>
    <x v="24"/>
    <x v="24"/>
    <n v="20629.5"/>
    <n v="746"/>
  </r>
  <r>
    <x v="25"/>
    <x v="25"/>
    <n v="30392.71"/>
    <n v="1030"/>
  </r>
  <r>
    <x v="26"/>
    <x v="26"/>
    <n v="10405.780000000001"/>
    <n v="231"/>
  </r>
  <r>
    <x v="27"/>
    <x v="27"/>
    <n v="13823.5"/>
    <n v="489"/>
  </r>
  <r>
    <x v="28"/>
    <x v="28"/>
    <n v="14770.06"/>
    <n v="762"/>
  </r>
  <r>
    <x v="29"/>
    <x v="29"/>
    <n v="5843.6"/>
    <n v="182"/>
  </r>
  <r>
    <x v="30"/>
    <x v="30"/>
    <n v="17918.740000000002"/>
    <n v="420"/>
  </r>
  <r>
    <x v="31"/>
    <x v="31"/>
    <n v="8501.23"/>
    <n v="397"/>
  </r>
  <r>
    <x v="32"/>
    <x v="32"/>
    <n v="4589.84"/>
    <n v="214"/>
  </r>
  <r>
    <x v="33"/>
    <x v="33"/>
    <n v="6713.41"/>
    <n v="251"/>
  </r>
  <r>
    <x v="34"/>
    <x v="34"/>
    <n v="5702.66"/>
    <n v="349"/>
  </r>
  <r>
    <x v="35"/>
    <x v="35"/>
    <n v="2747.86"/>
    <n v="75"/>
  </r>
  <r>
    <x v="36"/>
    <x v="36"/>
    <n v="11835.39"/>
    <n v="246"/>
  </r>
  <r>
    <x v="37"/>
    <x v="37"/>
    <n v="9036.4"/>
    <n v="505"/>
  </r>
  <r>
    <x v="38"/>
    <x v="38"/>
    <n v="7509.18"/>
    <n v="243"/>
  </r>
  <r>
    <x v="39"/>
    <x v="39"/>
    <n v="7884.68"/>
    <n v="235"/>
  </r>
  <r>
    <x v="40"/>
    <x v="40"/>
    <n v="3831.57"/>
    <n v="165"/>
  </r>
  <r>
    <x v="41"/>
    <x v="41"/>
    <n v="7253.27"/>
    <n v="449"/>
  </r>
  <r>
    <x v="42"/>
    <x v="42"/>
    <n v="5406.06"/>
    <n v="279"/>
  </r>
  <r>
    <x v="43"/>
    <x v="43"/>
    <n v="5229.71"/>
    <n v="192"/>
  </r>
  <r>
    <x v="44"/>
    <x v="44"/>
    <n v="4028.57"/>
    <n v="201"/>
  </r>
  <r>
    <x v="45"/>
    <x v="45"/>
    <n v="4895.53"/>
    <n v="238"/>
  </r>
  <r>
    <x v="46"/>
    <x v="46"/>
    <n v="5722.04"/>
    <n v="296"/>
  </r>
  <r>
    <x v="47"/>
    <x v="47"/>
    <n v="6507.82"/>
    <n v="140"/>
  </r>
  <r>
    <x v="48"/>
    <x v="48"/>
    <n v="4632.2299999999996"/>
    <n v="95"/>
  </r>
  <r>
    <x v="49"/>
    <x v="49"/>
    <n v="4283.0600000000004"/>
    <n v="260"/>
  </r>
  <r>
    <x v="50"/>
    <x v="50"/>
    <n v="2030.22"/>
    <n v="97"/>
  </r>
  <r>
    <x v="51"/>
    <x v="51"/>
    <n v="4488.62"/>
    <n v="225"/>
  </r>
  <r>
    <x v="52"/>
    <x v="52"/>
    <n v="2144.63"/>
    <n v="111"/>
  </r>
  <r>
    <x v="53"/>
    <x v="53"/>
    <n v="1916.19"/>
    <n v="121"/>
  </r>
  <r>
    <x v="54"/>
    <x v="54"/>
    <n v="3221.36"/>
    <n v="127"/>
  </r>
  <r>
    <x v="55"/>
    <x v="55"/>
    <n v="1226.2"/>
    <n v="79"/>
  </r>
  <r>
    <x v="56"/>
    <x v="56"/>
    <n v="1256.2"/>
    <n v="65"/>
  </r>
  <r>
    <x v="57"/>
    <x v="57"/>
    <n v="690.51"/>
    <n v="38"/>
  </r>
  <r>
    <x v="58"/>
    <x v="58"/>
    <n v="769.85"/>
    <n v="53"/>
  </r>
  <r>
    <x v="59"/>
    <x v="59"/>
    <n v="1244.8800000000001"/>
    <n v="57"/>
  </r>
  <r>
    <x v="60"/>
    <x v="60"/>
    <n v="827.97"/>
    <n v="39"/>
  </r>
  <r>
    <x v="61"/>
    <x v="61"/>
    <n v="1630.46"/>
    <n v="38"/>
  </r>
  <r>
    <x v="62"/>
    <x v="62"/>
    <n v="621.75"/>
    <n v="39"/>
  </r>
  <r>
    <x v="63"/>
    <x v="63"/>
    <n v="578.13"/>
    <n v="27"/>
  </r>
  <r>
    <x v="64"/>
    <x v="64"/>
    <n v="333.55"/>
    <n v="13"/>
  </r>
  <r>
    <x v="65"/>
    <x v="65"/>
    <n v="370.13"/>
    <n v="23"/>
  </r>
  <r>
    <x v="66"/>
    <x v="66"/>
    <n v="562.46"/>
    <n v="26"/>
  </r>
  <r>
    <x v="67"/>
    <x v="67"/>
    <n v="488.87"/>
    <n v="29"/>
  </r>
  <r>
    <x v="68"/>
    <x v="68"/>
    <n v="410.31"/>
    <n v="24"/>
  </r>
  <r>
    <x v="69"/>
    <x v="69"/>
    <n v="224.99"/>
    <n v="12"/>
  </r>
  <r>
    <x v="70"/>
    <x v="70"/>
    <n v="95.51"/>
    <n v="8"/>
  </r>
  <r>
    <x v="71"/>
    <x v="71"/>
    <n v="41.22"/>
    <n v="2"/>
  </r>
  <r>
    <x v="72"/>
    <x v="72"/>
    <s v="  "/>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5163867.22"/>
    <n v="41125"/>
  </r>
  <r>
    <x v="1"/>
    <n v="1811623.42"/>
    <n v="12697"/>
  </r>
  <r>
    <x v="2"/>
    <n v="1573508.2"/>
    <n v="11496"/>
  </r>
  <r>
    <x v="3"/>
    <n v="742559.78"/>
    <n v="5415"/>
  </r>
  <r>
    <x v="4"/>
    <n v="676883.06"/>
    <n v="4982"/>
  </r>
  <r>
    <x v="5"/>
    <n v="518578.28"/>
    <n v="3599"/>
  </r>
  <r>
    <x v="6"/>
    <n v="507108.83"/>
    <n v="3344"/>
  </r>
  <r>
    <x v="7"/>
    <n v="300886.45"/>
    <n v="2120"/>
  </r>
  <r>
    <x v="8"/>
    <n v="287870.46000000002"/>
    <n v="1998"/>
  </r>
  <r>
    <x v="9"/>
    <n v="273532.13"/>
    <n v="2018"/>
  </r>
  <r>
    <x v="10"/>
    <n v="261739.94"/>
    <n v="1643"/>
  </r>
  <r>
    <x v="11"/>
    <n v="226264.06"/>
    <n v="1323"/>
  </r>
  <r>
    <x v="12"/>
    <n v="178821.12"/>
    <n v="969"/>
  </r>
  <r>
    <x v="13"/>
    <n v="156313.53"/>
    <n v="902"/>
  </r>
  <r>
    <x v="14"/>
    <n v="119291.62"/>
    <n v="736"/>
  </r>
  <r>
    <x v="15"/>
    <n v="116754.65"/>
    <n v="708"/>
  </r>
  <r>
    <x v="16"/>
    <n v="114874.1"/>
    <n v="531"/>
  </r>
  <r>
    <x v="17"/>
    <n v="86660.09"/>
    <n v="490"/>
  </r>
  <r>
    <x v="18"/>
    <n v="83034.98"/>
    <n v="482"/>
  </r>
  <r>
    <x v="19"/>
    <n v="80314.81"/>
    <n v="411"/>
  </r>
  <r>
    <x v="20"/>
    <n v="58920.85"/>
    <n v="345"/>
  </r>
  <r>
    <x v="21"/>
    <n v="49407.99"/>
    <n v="278"/>
  </r>
  <r>
    <x v="22"/>
    <n v="46031.64"/>
    <n v="246"/>
  </r>
  <r>
    <x v="23"/>
    <n v="22356.84"/>
    <n v="147"/>
  </r>
  <r>
    <x v="24"/>
    <n v="15982.95"/>
    <n v="81"/>
  </r>
  <r>
    <x v="25"/>
    <n v="13474.3"/>
    <n v="68"/>
  </r>
  <r>
    <x v="26"/>
    <n v="7739.44"/>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8687740.3499999996"/>
    <n v="69854"/>
  </r>
  <r>
    <x v="1"/>
    <n v="1256874.01"/>
    <n v="7647"/>
  </r>
  <r>
    <x v="2"/>
    <n v="1001944.76"/>
    <n v="7880"/>
  </r>
  <r>
    <x v="3"/>
    <n v="837466.37"/>
    <n v="4330"/>
  </r>
  <r>
    <x v="4"/>
    <n v="624002.96"/>
    <n v="3649"/>
  </r>
  <r>
    <x v="5"/>
    <n v="377726.85"/>
    <n v="1983"/>
  </r>
  <r>
    <x v="6"/>
    <n v="285332.57"/>
    <n v="567"/>
  </r>
  <r>
    <x v="7"/>
    <n v="97100.479999999996"/>
    <n v="821"/>
  </r>
  <r>
    <x v="8"/>
    <n v="91463.95"/>
    <n v="405"/>
  </r>
  <r>
    <x v="9"/>
    <n v="66251.72"/>
    <n v="460"/>
  </r>
  <r>
    <x v="10"/>
    <n v="47629.62"/>
    <n v="317"/>
  </r>
  <r>
    <x v="11"/>
    <n v="36408.949999999997"/>
    <n v="392"/>
  </r>
  <r>
    <x v="12"/>
    <n v="20175.740000000002"/>
    <n v="90"/>
  </r>
  <r>
    <x v="13"/>
    <n v="17095"/>
    <n v="36"/>
  </r>
  <r>
    <x v="14"/>
    <n v="17070.72"/>
    <n v="137"/>
  </r>
  <r>
    <x v="15"/>
    <n v="9992.6"/>
    <n v="51"/>
  </r>
  <r>
    <x v="16"/>
    <n v="8551.69"/>
    <n v="49"/>
  </r>
  <r>
    <x v="17"/>
    <n v="4762.2"/>
    <n v="14"/>
  </r>
  <r>
    <x v="18"/>
    <n v="2522"/>
    <n v="12"/>
  </r>
  <r>
    <x v="19"/>
    <n v="1606.2"/>
    <n v="9"/>
  </r>
  <r>
    <x v="20"/>
    <n v="1238"/>
    <n v="8"/>
  </r>
  <r>
    <x v="21"/>
    <n v="1177"/>
    <n v="3"/>
  </r>
  <r>
    <x v="22"/>
    <n v="267"/>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2"/>
  </r>
  <r>
    <x v="1"/>
    <x v="1"/>
    <n v="290"/>
  </r>
  <r>
    <x v="2"/>
    <x v="2"/>
    <n v="1"/>
  </r>
  <r>
    <x v="3"/>
    <x v="3"/>
    <n v="787"/>
  </r>
  <r>
    <x v="4"/>
    <x v="4"/>
    <n v="1718"/>
  </r>
  <r>
    <x v="5"/>
    <x v="5"/>
    <n v="2617"/>
  </r>
  <r>
    <x v="6"/>
    <x v="6"/>
    <n v="2377"/>
  </r>
  <r>
    <x v="7"/>
    <x v="7"/>
    <n v="3640"/>
  </r>
  <r>
    <x v="8"/>
    <x v="8"/>
    <n v="3205"/>
  </r>
  <r>
    <x v="9"/>
    <x v="9"/>
    <n v="3946"/>
  </r>
  <r>
    <x v="10"/>
    <x v="10"/>
    <n v="4272"/>
  </r>
  <r>
    <x v="11"/>
    <x v="11"/>
    <n v="4227"/>
  </r>
  <r>
    <x v="12"/>
    <x v="12"/>
    <n v="4547"/>
  </r>
  <r>
    <x v="13"/>
    <x v="13"/>
    <n v="7421"/>
  </r>
  <r>
    <x v="14"/>
    <x v="14"/>
    <n v="5618"/>
  </r>
  <r>
    <x v="15"/>
    <x v="15"/>
    <n v="7187"/>
  </r>
  <r>
    <x v="16"/>
    <x v="16"/>
    <n v="6624"/>
  </r>
  <r>
    <x v="17"/>
    <x v="17"/>
    <n v="7168"/>
  </r>
  <r>
    <x v="18"/>
    <x v="18"/>
    <n v="6919"/>
  </r>
  <r>
    <x v="19"/>
    <x v="19"/>
    <n v="6833"/>
  </r>
  <r>
    <x v="20"/>
    <x v="20"/>
    <n v="6145"/>
  </r>
  <r>
    <x v="21"/>
    <x v="21"/>
    <n v="6233"/>
  </r>
  <r>
    <x v="22"/>
    <x v="22"/>
    <n v="6421"/>
  </r>
  <r>
    <x v="23"/>
    <x v="2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52E78-9BEB-462F-A606-AF911B6799F1}" name="PivotTable15" cacheId="1" applyNumberFormats="0" applyBorderFormats="0" applyFontFormats="0" applyPatternFormats="0" applyAlignmentFormats="0" applyWidthHeightFormats="1" dataCaption="Values" grandTotalCaption="Total Revenue" updatedVersion="8" minRefreshableVersion="3" useAutoFormatting="1" itemPrintTitles="1" createdVersion="8" indent="0" outline="1" outlineData="1" multipleFieldFilters="0" chartFormat="10" rowHeaderCaption="Top 15 categories">
  <location ref="F8:G25" firstHeaderRow="1" firstDataRow="1" firstDataCol="1"/>
  <pivotFields count="4">
    <pivotField axis="axisRow" showAll="0" measureFilter="1" sortType="descending">
      <items count="74">
        <item x="29"/>
        <item x="33"/>
        <item x="44"/>
        <item x="65"/>
        <item x="34"/>
        <item x="8"/>
        <item x="11"/>
        <item x="2"/>
        <item x="37"/>
        <item x="58"/>
        <item x="49"/>
        <item x="69"/>
        <item x="54"/>
        <item x="56"/>
        <item x="16"/>
        <item x="4"/>
        <item x="22"/>
        <item x="24"/>
        <item x="38"/>
        <item x="40"/>
        <item x="7"/>
        <item x="43"/>
        <item x="50"/>
        <item x="66"/>
        <item x="46"/>
        <item x="59"/>
        <item x="21"/>
        <item x="62"/>
        <item x="23"/>
        <item x="70"/>
        <item x="52"/>
        <item x="45"/>
        <item x="63"/>
        <item x="53"/>
        <item x="32"/>
        <item x="67"/>
        <item x="41"/>
        <item x="51"/>
        <item x="48"/>
        <item x="5"/>
        <item x="30"/>
        <item x="61"/>
        <item x="9"/>
        <item x="0"/>
        <item x="28"/>
        <item x="26"/>
        <item x="68"/>
        <item x="31"/>
        <item x="27"/>
        <item x="6"/>
        <item x="39"/>
        <item x="36"/>
        <item x="64"/>
        <item x="25"/>
        <item x="42"/>
        <item x="57"/>
        <item x="19"/>
        <item x="14"/>
        <item x="72"/>
        <item x="60"/>
        <item x="12"/>
        <item x="17"/>
        <item x="71"/>
        <item x="47"/>
        <item x="18"/>
        <item x="35"/>
        <item x="3"/>
        <item x="15"/>
        <item x="55"/>
        <item x="13"/>
        <item x="10"/>
        <item x="20"/>
        <item x="1"/>
        <item t="default"/>
      </items>
      <autoSortScope>
        <pivotArea dataOnly="0" outline="0" fieldPosition="0">
          <references count="1">
            <reference field="4294967294" count="1" selected="0">
              <x v="0"/>
            </reference>
          </references>
        </pivotArea>
      </autoSortScope>
    </pivotField>
    <pivotField dataField="1" showAll="0">
      <items count="74">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
        <item t="default"/>
      </items>
    </pivotField>
    <pivotField showAll="0"/>
    <pivotField showAll="0"/>
  </pivotFields>
  <rowFields count="1">
    <field x="0"/>
  </rowFields>
  <rowItems count="17">
    <i>
      <x v="58"/>
    </i>
    <i>
      <x v="43"/>
    </i>
    <i>
      <x v="72"/>
    </i>
    <i>
      <x v="7"/>
    </i>
    <i>
      <x v="66"/>
    </i>
    <i>
      <x v="15"/>
    </i>
    <i>
      <x v="39"/>
    </i>
    <i>
      <x v="49"/>
    </i>
    <i>
      <x v="20"/>
    </i>
    <i>
      <x v="5"/>
    </i>
    <i>
      <x v="42"/>
    </i>
    <i>
      <x v="70"/>
    </i>
    <i>
      <x v="6"/>
    </i>
    <i>
      <x v="60"/>
    </i>
    <i>
      <x v="69"/>
    </i>
    <i>
      <x v="57"/>
    </i>
    <i t="grand">
      <x/>
    </i>
  </rowItems>
  <colItems count="1">
    <i/>
  </colItems>
  <dataFields count="1">
    <dataField name="Revenue per Category" fld="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23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0555D-A56E-4774-A147-36F1076675E9}" name="PivotTable20" cacheId="2" applyNumberFormats="0" applyBorderFormats="0" applyFontFormats="0" applyPatternFormats="0" applyAlignmentFormats="0" applyWidthHeightFormats="1" dataCaption="Values" grandTotalCaption="Total Revenue" updatedVersion="8" minRefreshableVersion="3" useAutoFormatting="1" itemPrintTitles="1" createdVersion="8" indent="0" outline="1" outlineData="1" multipleFieldFilters="0" chartFormat="15" rowHeaderCaption="Customer state">
  <location ref="E1:F29" firstHeaderRow="1" firstDataRow="1" firstDataCol="1"/>
  <pivotFields count="3">
    <pivotField axis="axisRow" showAll="0" sortType="descending">
      <items count="28">
        <item x="24"/>
        <item x="19"/>
        <item x="23"/>
        <item x="25"/>
        <item x="6"/>
        <item x="11"/>
        <item x="7"/>
        <item x="9"/>
        <item x="8"/>
        <item x="14"/>
        <item x="2"/>
        <item x="15"/>
        <item x="13"/>
        <item x="12"/>
        <item x="16"/>
        <item x="10"/>
        <item x="17"/>
        <item x="4"/>
        <item x="1"/>
        <item x="18"/>
        <item x="22"/>
        <item x="26"/>
        <item x="3"/>
        <item x="5"/>
        <item x="20"/>
        <item x="0"/>
        <item x="21"/>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28">
    <i>
      <x v="25"/>
    </i>
    <i>
      <x v="18"/>
    </i>
    <i>
      <x v="10"/>
    </i>
    <i>
      <x v="22"/>
    </i>
    <i>
      <x v="17"/>
    </i>
    <i>
      <x v="23"/>
    </i>
    <i>
      <x v="4"/>
    </i>
    <i>
      <x v="6"/>
    </i>
    <i>
      <x v="8"/>
    </i>
    <i>
      <x v="7"/>
    </i>
    <i>
      <x v="15"/>
    </i>
    <i>
      <x v="5"/>
    </i>
    <i>
      <x v="13"/>
    </i>
    <i>
      <x v="12"/>
    </i>
    <i>
      <x v="9"/>
    </i>
    <i>
      <x v="11"/>
    </i>
    <i>
      <x v="14"/>
    </i>
    <i>
      <x v="16"/>
    </i>
    <i>
      <x v="19"/>
    </i>
    <i>
      <x v="1"/>
    </i>
    <i>
      <x v="24"/>
    </i>
    <i>
      <x v="26"/>
    </i>
    <i>
      <x v="20"/>
    </i>
    <i>
      <x v="2"/>
    </i>
    <i>
      <x/>
    </i>
    <i>
      <x v="3"/>
    </i>
    <i>
      <x v="21"/>
    </i>
    <i t="grand">
      <x/>
    </i>
  </rowItems>
  <colItems count="1">
    <i/>
  </colItems>
  <dataFields count="1">
    <dataField name="Revenue per Region" fld="1" baseField="0" baseItem="0"/>
  </dataFields>
  <chartFormats count="5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5"/>
          </reference>
        </references>
      </pivotArea>
    </chartFormat>
    <chartFormat chart="7" format="8">
      <pivotArea type="data" outline="0" fieldPosition="0">
        <references count="2">
          <reference field="4294967294" count="1" selected="0">
            <x v="0"/>
          </reference>
          <reference field="0" count="1" selected="0">
            <x v="6"/>
          </reference>
        </references>
      </pivotArea>
    </chartFormat>
    <chartFormat chart="7" format="9">
      <pivotArea type="data" outline="0" fieldPosition="0">
        <references count="2">
          <reference field="4294967294" count="1" selected="0">
            <x v="0"/>
          </reference>
          <reference field="0" count="1" selected="0">
            <x v="7"/>
          </reference>
        </references>
      </pivotArea>
    </chartFormat>
    <chartFormat chart="7" format="10">
      <pivotArea type="data" outline="0" fieldPosition="0">
        <references count="2">
          <reference field="4294967294" count="1" selected="0">
            <x v="0"/>
          </reference>
          <reference field="0" count="1" selected="0">
            <x v="8"/>
          </reference>
        </references>
      </pivotArea>
    </chartFormat>
    <chartFormat chart="7" format="11">
      <pivotArea type="data" outline="0" fieldPosition="0">
        <references count="2">
          <reference field="4294967294" count="1" selected="0">
            <x v="0"/>
          </reference>
          <reference field="0" count="1" selected="0">
            <x v="9"/>
          </reference>
        </references>
      </pivotArea>
    </chartFormat>
    <chartFormat chart="7" format="12">
      <pivotArea type="data" outline="0" fieldPosition="0">
        <references count="2">
          <reference field="4294967294" count="1" selected="0">
            <x v="0"/>
          </reference>
          <reference field="0" count="1" selected="0">
            <x v="10"/>
          </reference>
        </references>
      </pivotArea>
    </chartFormat>
    <chartFormat chart="7" format="13">
      <pivotArea type="data" outline="0" fieldPosition="0">
        <references count="2">
          <reference field="4294967294" count="1" selected="0">
            <x v="0"/>
          </reference>
          <reference field="0" count="1" selected="0">
            <x v="11"/>
          </reference>
        </references>
      </pivotArea>
    </chartFormat>
    <chartFormat chart="7" format="14">
      <pivotArea type="data" outline="0" fieldPosition="0">
        <references count="2">
          <reference field="4294967294" count="1" selected="0">
            <x v="0"/>
          </reference>
          <reference field="0" count="1" selected="0">
            <x v="12"/>
          </reference>
        </references>
      </pivotArea>
    </chartFormat>
    <chartFormat chart="7" format="15">
      <pivotArea type="data" outline="0" fieldPosition="0">
        <references count="2">
          <reference field="4294967294" count="1" selected="0">
            <x v="0"/>
          </reference>
          <reference field="0" count="1" selected="0">
            <x v="13"/>
          </reference>
        </references>
      </pivotArea>
    </chartFormat>
    <chartFormat chart="7" format="16">
      <pivotArea type="data" outline="0" fieldPosition="0">
        <references count="2">
          <reference field="4294967294" count="1" selected="0">
            <x v="0"/>
          </reference>
          <reference field="0" count="1" selected="0">
            <x v="14"/>
          </reference>
        </references>
      </pivotArea>
    </chartFormat>
    <chartFormat chart="7" format="17">
      <pivotArea type="data" outline="0" fieldPosition="0">
        <references count="2">
          <reference field="4294967294" count="1" selected="0">
            <x v="0"/>
          </reference>
          <reference field="0" count="1" selected="0">
            <x v="15"/>
          </reference>
        </references>
      </pivotArea>
    </chartFormat>
    <chartFormat chart="7" format="18">
      <pivotArea type="data" outline="0" fieldPosition="0">
        <references count="2">
          <reference field="4294967294" count="1" selected="0">
            <x v="0"/>
          </reference>
          <reference field="0" count="1" selected="0">
            <x v="16"/>
          </reference>
        </references>
      </pivotArea>
    </chartFormat>
    <chartFormat chart="7" format="19">
      <pivotArea type="data" outline="0" fieldPosition="0">
        <references count="2">
          <reference field="4294967294" count="1" selected="0">
            <x v="0"/>
          </reference>
          <reference field="0" count="1" selected="0">
            <x v="17"/>
          </reference>
        </references>
      </pivotArea>
    </chartFormat>
    <chartFormat chart="7" format="20">
      <pivotArea type="data" outline="0" fieldPosition="0">
        <references count="2">
          <reference field="4294967294" count="1" selected="0">
            <x v="0"/>
          </reference>
          <reference field="0" count="1" selected="0">
            <x v="18"/>
          </reference>
        </references>
      </pivotArea>
    </chartFormat>
    <chartFormat chart="7" format="21">
      <pivotArea type="data" outline="0" fieldPosition="0">
        <references count="2">
          <reference field="4294967294" count="1" selected="0">
            <x v="0"/>
          </reference>
          <reference field="0" count="1" selected="0">
            <x v="19"/>
          </reference>
        </references>
      </pivotArea>
    </chartFormat>
    <chartFormat chart="7" format="22">
      <pivotArea type="data" outline="0" fieldPosition="0">
        <references count="2">
          <reference field="4294967294" count="1" selected="0">
            <x v="0"/>
          </reference>
          <reference field="0" count="1" selected="0">
            <x v="20"/>
          </reference>
        </references>
      </pivotArea>
    </chartFormat>
    <chartFormat chart="7" format="23">
      <pivotArea type="data" outline="0" fieldPosition="0">
        <references count="2">
          <reference field="4294967294" count="1" selected="0">
            <x v="0"/>
          </reference>
          <reference field="0" count="1" selected="0">
            <x v="21"/>
          </reference>
        </references>
      </pivotArea>
    </chartFormat>
    <chartFormat chart="7" format="24">
      <pivotArea type="data" outline="0" fieldPosition="0">
        <references count="2">
          <reference field="4294967294" count="1" selected="0">
            <x v="0"/>
          </reference>
          <reference field="0" count="1" selected="0">
            <x v="22"/>
          </reference>
        </references>
      </pivotArea>
    </chartFormat>
    <chartFormat chart="7" format="25">
      <pivotArea type="data" outline="0" fieldPosition="0">
        <references count="2">
          <reference field="4294967294" count="1" selected="0">
            <x v="0"/>
          </reference>
          <reference field="0" count="1" selected="0">
            <x v="23"/>
          </reference>
        </references>
      </pivotArea>
    </chartFormat>
    <chartFormat chart="7" format="26">
      <pivotArea type="data" outline="0" fieldPosition="0">
        <references count="2">
          <reference field="4294967294" count="1" selected="0">
            <x v="0"/>
          </reference>
          <reference field="0" count="1" selected="0">
            <x v="24"/>
          </reference>
        </references>
      </pivotArea>
    </chartFormat>
    <chartFormat chart="7" format="27">
      <pivotArea type="data" outline="0" fieldPosition="0">
        <references count="2">
          <reference field="4294967294" count="1" selected="0">
            <x v="0"/>
          </reference>
          <reference field="0" count="1" selected="0">
            <x v="25"/>
          </reference>
        </references>
      </pivotArea>
    </chartFormat>
    <chartFormat chart="7" format="28">
      <pivotArea type="data" outline="0" fieldPosition="0">
        <references count="2">
          <reference field="4294967294" count="1" selected="0">
            <x v="0"/>
          </reference>
          <reference field="0" count="1" selected="0">
            <x v="26"/>
          </reference>
        </references>
      </pivotArea>
    </chartFormat>
    <chartFormat chart="12" format="57" series="1">
      <pivotArea type="data" outline="0" fieldPosition="0">
        <references count="1">
          <reference field="4294967294" count="1" selected="0">
            <x v="0"/>
          </reference>
        </references>
      </pivotArea>
    </chartFormat>
    <chartFormat chart="12" format="58">
      <pivotArea type="data" outline="0" fieldPosition="0">
        <references count="2">
          <reference field="4294967294" count="1" selected="0">
            <x v="0"/>
          </reference>
          <reference field="0" count="1" selected="0">
            <x v="25"/>
          </reference>
        </references>
      </pivotArea>
    </chartFormat>
    <chartFormat chart="12" format="59">
      <pivotArea type="data" outline="0" fieldPosition="0">
        <references count="2">
          <reference field="4294967294" count="1" selected="0">
            <x v="0"/>
          </reference>
          <reference field="0" count="1" selected="0">
            <x v="18"/>
          </reference>
        </references>
      </pivotArea>
    </chartFormat>
    <chartFormat chart="12" format="60">
      <pivotArea type="data" outline="0" fieldPosition="0">
        <references count="2">
          <reference field="4294967294" count="1" selected="0">
            <x v="0"/>
          </reference>
          <reference field="0" count="1" selected="0">
            <x v="10"/>
          </reference>
        </references>
      </pivotArea>
    </chartFormat>
    <chartFormat chart="12" format="61">
      <pivotArea type="data" outline="0" fieldPosition="0">
        <references count="2">
          <reference field="4294967294" count="1" selected="0">
            <x v="0"/>
          </reference>
          <reference field="0" count="1" selected="0">
            <x v="22"/>
          </reference>
        </references>
      </pivotArea>
    </chartFormat>
    <chartFormat chart="12" format="62">
      <pivotArea type="data" outline="0" fieldPosition="0">
        <references count="2">
          <reference field="4294967294" count="1" selected="0">
            <x v="0"/>
          </reference>
          <reference field="0" count="1" selected="0">
            <x v="17"/>
          </reference>
        </references>
      </pivotArea>
    </chartFormat>
    <chartFormat chart="12" format="63">
      <pivotArea type="data" outline="0" fieldPosition="0">
        <references count="2">
          <reference field="4294967294" count="1" selected="0">
            <x v="0"/>
          </reference>
          <reference field="0" count="1" selected="0">
            <x v="23"/>
          </reference>
        </references>
      </pivotArea>
    </chartFormat>
    <chartFormat chart="12" format="64">
      <pivotArea type="data" outline="0" fieldPosition="0">
        <references count="2">
          <reference field="4294967294" count="1" selected="0">
            <x v="0"/>
          </reference>
          <reference field="0" count="1" selected="0">
            <x v="4"/>
          </reference>
        </references>
      </pivotArea>
    </chartFormat>
    <chartFormat chart="12" format="65">
      <pivotArea type="data" outline="0" fieldPosition="0">
        <references count="2">
          <reference field="4294967294" count="1" selected="0">
            <x v="0"/>
          </reference>
          <reference field="0" count="1" selected="0">
            <x v="6"/>
          </reference>
        </references>
      </pivotArea>
    </chartFormat>
    <chartFormat chart="12" format="66">
      <pivotArea type="data" outline="0" fieldPosition="0">
        <references count="2">
          <reference field="4294967294" count="1" selected="0">
            <x v="0"/>
          </reference>
          <reference field="0" count="1" selected="0">
            <x v="8"/>
          </reference>
        </references>
      </pivotArea>
    </chartFormat>
    <chartFormat chart="12" format="67">
      <pivotArea type="data" outline="0" fieldPosition="0">
        <references count="2">
          <reference field="4294967294" count="1" selected="0">
            <x v="0"/>
          </reference>
          <reference field="0" count="1" selected="0">
            <x v="7"/>
          </reference>
        </references>
      </pivotArea>
    </chartFormat>
    <chartFormat chart="12" format="68">
      <pivotArea type="data" outline="0" fieldPosition="0">
        <references count="2">
          <reference field="4294967294" count="1" selected="0">
            <x v="0"/>
          </reference>
          <reference field="0" count="1" selected="0">
            <x v="15"/>
          </reference>
        </references>
      </pivotArea>
    </chartFormat>
    <chartFormat chart="12" format="69">
      <pivotArea type="data" outline="0" fieldPosition="0">
        <references count="2">
          <reference field="4294967294" count="1" selected="0">
            <x v="0"/>
          </reference>
          <reference field="0" count="1" selected="0">
            <x v="5"/>
          </reference>
        </references>
      </pivotArea>
    </chartFormat>
    <chartFormat chart="12" format="70">
      <pivotArea type="data" outline="0" fieldPosition="0">
        <references count="2">
          <reference field="4294967294" count="1" selected="0">
            <x v="0"/>
          </reference>
          <reference field="0" count="1" selected="0">
            <x v="13"/>
          </reference>
        </references>
      </pivotArea>
    </chartFormat>
    <chartFormat chart="12" format="71">
      <pivotArea type="data" outline="0" fieldPosition="0">
        <references count="2">
          <reference field="4294967294" count="1" selected="0">
            <x v="0"/>
          </reference>
          <reference field="0" count="1" selected="0">
            <x v="12"/>
          </reference>
        </references>
      </pivotArea>
    </chartFormat>
    <chartFormat chart="12" format="72">
      <pivotArea type="data" outline="0" fieldPosition="0">
        <references count="2">
          <reference field="4294967294" count="1" selected="0">
            <x v="0"/>
          </reference>
          <reference field="0" count="1" selected="0">
            <x v="9"/>
          </reference>
        </references>
      </pivotArea>
    </chartFormat>
    <chartFormat chart="12" format="73">
      <pivotArea type="data" outline="0" fieldPosition="0">
        <references count="2">
          <reference field="4294967294" count="1" selected="0">
            <x v="0"/>
          </reference>
          <reference field="0" count="1" selected="0">
            <x v="11"/>
          </reference>
        </references>
      </pivotArea>
    </chartFormat>
    <chartFormat chart="12" format="74">
      <pivotArea type="data" outline="0" fieldPosition="0">
        <references count="2">
          <reference field="4294967294" count="1" selected="0">
            <x v="0"/>
          </reference>
          <reference field="0" count="1" selected="0">
            <x v="14"/>
          </reference>
        </references>
      </pivotArea>
    </chartFormat>
    <chartFormat chart="12" format="75">
      <pivotArea type="data" outline="0" fieldPosition="0">
        <references count="2">
          <reference field="4294967294" count="1" selected="0">
            <x v="0"/>
          </reference>
          <reference field="0" count="1" selected="0">
            <x v="16"/>
          </reference>
        </references>
      </pivotArea>
    </chartFormat>
    <chartFormat chart="12" format="76">
      <pivotArea type="data" outline="0" fieldPosition="0">
        <references count="2">
          <reference field="4294967294" count="1" selected="0">
            <x v="0"/>
          </reference>
          <reference field="0" count="1" selected="0">
            <x v="19"/>
          </reference>
        </references>
      </pivotArea>
    </chartFormat>
    <chartFormat chart="12" format="77">
      <pivotArea type="data" outline="0" fieldPosition="0">
        <references count="2">
          <reference field="4294967294" count="1" selected="0">
            <x v="0"/>
          </reference>
          <reference field="0" count="1" selected="0">
            <x v="1"/>
          </reference>
        </references>
      </pivotArea>
    </chartFormat>
    <chartFormat chart="12" format="78">
      <pivotArea type="data" outline="0" fieldPosition="0">
        <references count="2">
          <reference field="4294967294" count="1" selected="0">
            <x v="0"/>
          </reference>
          <reference field="0" count="1" selected="0">
            <x v="24"/>
          </reference>
        </references>
      </pivotArea>
    </chartFormat>
    <chartFormat chart="12" format="79">
      <pivotArea type="data" outline="0" fieldPosition="0">
        <references count="2">
          <reference field="4294967294" count="1" selected="0">
            <x v="0"/>
          </reference>
          <reference field="0" count="1" selected="0">
            <x v="26"/>
          </reference>
        </references>
      </pivotArea>
    </chartFormat>
    <chartFormat chart="12" format="80">
      <pivotArea type="data" outline="0" fieldPosition="0">
        <references count="2">
          <reference field="4294967294" count="1" selected="0">
            <x v="0"/>
          </reference>
          <reference field="0" count="1" selected="0">
            <x v="20"/>
          </reference>
        </references>
      </pivotArea>
    </chartFormat>
    <chartFormat chart="12" format="81">
      <pivotArea type="data" outline="0" fieldPosition="0">
        <references count="2">
          <reference field="4294967294" count="1" selected="0">
            <x v="0"/>
          </reference>
          <reference field="0" count="1" selected="0">
            <x v="2"/>
          </reference>
        </references>
      </pivotArea>
    </chartFormat>
    <chartFormat chart="12" format="82">
      <pivotArea type="data" outline="0" fieldPosition="0">
        <references count="2">
          <reference field="4294967294" count="1" selected="0">
            <x v="0"/>
          </reference>
          <reference field="0" count="1" selected="0">
            <x v="0"/>
          </reference>
        </references>
      </pivotArea>
    </chartFormat>
    <chartFormat chart="12" format="83">
      <pivotArea type="data" outline="0" fieldPosition="0">
        <references count="2">
          <reference field="4294967294" count="1" selected="0">
            <x v="0"/>
          </reference>
          <reference field="0" count="1" selected="0">
            <x v="3"/>
          </reference>
        </references>
      </pivotArea>
    </chartFormat>
    <chartFormat chart="12" format="84">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29351-A447-472F-A2B8-8F3899BBA80E}" name="PivotTable21" cacheId="3" applyNumberFormats="0" applyBorderFormats="0" applyFontFormats="0" applyPatternFormats="0" applyAlignmentFormats="0" applyWidthHeightFormats="1" dataCaption="Values" grandTotalCaption="Total Revenue" updatedVersion="8" minRefreshableVersion="3" useAutoFormatting="1" itemPrintTitles="1" createdVersion="8" indent="0" outline="1" outlineData="1" multipleFieldFilters="0" chartFormat="15" rowHeaderCaption="Seller State">
  <location ref="E1:F25" firstHeaderRow="1" firstDataRow="1" firstDataCol="1"/>
  <pivotFields count="3">
    <pivotField axis="axisRow" showAll="0" sortType="descending">
      <items count="24">
        <item x="22"/>
        <item x="21"/>
        <item x="6"/>
        <item x="12"/>
        <item x="7"/>
        <item x="10"/>
        <item x="9"/>
        <item x="11"/>
        <item x="2"/>
        <item x="16"/>
        <item x="14"/>
        <item x="20"/>
        <item x="13"/>
        <item x="8"/>
        <item x="18"/>
        <item x="1"/>
        <item x="3"/>
        <item x="15"/>
        <item x="17"/>
        <item x="5"/>
        <item x="4"/>
        <item x="19"/>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24">
    <i>
      <x v="22"/>
    </i>
    <i>
      <x v="15"/>
    </i>
    <i>
      <x v="8"/>
    </i>
    <i>
      <x v="16"/>
    </i>
    <i>
      <x v="20"/>
    </i>
    <i>
      <x v="19"/>
    </i>
    <i>
      <x v="2"/>
    </i>
    <i>
      <x v="4"/>
    </i>
    <i>
      <x v="13"/>
    </i>
    <i>
      <x v="6"/>
    </i>
    <i>
      <x v="5"/>
    </i>
    <i>
      <x v="7"/>
    </i>
    <i>
      <x v="3"/>
    </i>
    <i>
      <x v="12"/>
    </i>
    <i>
      <x v="10"/>
    </i>
    <i>
      <x v="17"/>
    </i>
    <i>
      <x v="9"/>
    </i>
    <i>
      <x v="18"/>
    </i>
    <i>
      <x v="14"/>
    </i>
    <i>
      <x v="21"/>
    </i>
    <i>
      <x v="11"/>
    </i>
    <i>
      <x v="1"/>
    </i>
    <i>
      <x/>
    </i>
    <i t="grand">
      <x/>
    </i>
  </rowItems>
  <colItems count="1">
    <i/>
  </colItems>
  <dataFields count="1">
    <dataField name="Revenue per Region" fld="1" baseField="0" baseItem="0"/>
  </dataFields>
  <chartFormats count="2">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12A06D-707E-4EFD-ADDB-1AE7FC7AC2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19" firstHeaderRow="1" firstDataRow="1" firstDataCol="1" rowPageCount="1" colPageCount="1"/>
  <pivotFields count="4">
    <pivotField axis="axisRow" showAll="0" measureFilter="1" sortType="descending">
      <items count="73">
        <item x="30"/>
        <item x="33"/>
        <item x="41"/>
        <item x="65"/>
        <item x="38"/>
        <item x="8"/>
        <item x="11"/>
        <item x="0"/>
        <item x="34"/>
        <item x="55"/>
        <item x="47"/>
        <item x="69"/>
        <item x="57"/>
        <item x="60"/>
        <item x="21"/>
        <item x="4"/>
        <item x="20"/>
        <item x="22"/>
        <item x="37"/>
        <item x="42"/>
        <item x="7"/>
        <item x="48"/>
        <item x="49"/>
        <item x="63"/>
        <item x="45"/>
        <item x="54"/>
        <item x="25"/>
        <item x="62"/>
        <item x="23"/>
        <item x="70"/>
        <item x="52"/>
        <item x="50"/>
        <item x="64"/>
        <item x="53"/>
        <item x="36"/>
        <item x="68"/>
        <item x="40"/>
        <item x="51"/>
        <item x="43"/>
        <item x="5"/>
        <item x="32"/>
        <item x="59"/>
        <item x="12"/>
        <item x="1"/>
        <item x="27"/>
        <item x="28"/>
        <item x="67"/>
        <item x="29"/>
        <item x="26"/>
        <item x="6"/>
        <item x="35"/>
        <item x="31"/>
        <item x="66"/>
        <item x="24"/>
        <item x="44"/>
        <item x="58"/>
        <item x="18"/>
        <item x="13"/>
        <item x="61"/>
        <item x="10"/>
        <item x="16"/>
        <item x="71"/>
        <item x="46"/>
        <item x="17"/>
        <item x="39"/>
        <item x="3"/>
        <item x="15"/>
        <item x="56"/>
        <item x="14"/>
        <item x="9"/>
        <item x="19"/>
        <item x="2"/>
        <item t="default"/>
      </items>
      <autoSortScope>
        <pivotArea dataOnly="0" outline="0" fieldPosition="0">
          <references count="1">
            <reference field="4294967294" count="1" selected="0">
              <x v="0"/>
            </reference>
          </references>
        </pivotArea>
      </autoSortScope>
    </pivotField>
    <pivotField axis="axisPage" multipleItemSelectionAllowed="1" showAll="0">
      <items count="28">
        <item h="1" x="25"/>
        <item x="16"/>
        <item h="1" x="23"/>
        <item h="1" x="24"/>
        <item h="1" x="5"/>
        <item h="1" x="9"/>
        <item h="1" x="8"/>
        <item h="1" x="11"/>
        <item h="1" x="10"/>
        <item h="1" x="17"/>
        <item h="1" x="2"/>
        <item h="1" x="18"/>
        <item h="1" x="14"/>
        <item h="1" x="12"/>
        <item h="1" x="13"/>
        <item h="1" x="7"/>
        <item h="1" x="19"/>
        <item h="1" x="4"/>
        <item h="1" x="1"/>
        <item h="1" x="15"/>
        <item h="1" x="21"/>
        <item h="1" x="26"/>
        <item h="1" x="3"/>
        <item h="1" x="6"/>
        <item h="1" x="20"/>
        <item h="1" x="0"/>
        <item h="1" x="22"/>
        <item t="default"/>
      </items>
    </pivotField>
    <pivotField dataField="1" showAll="0">
      <items count="1319">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s>
  <rowFields count="1">
    <field x="0"/>
  </rowFields>
  <rowItems count="16">
    <i>
      <x v="43"/>
    </i>
    <i>
      <x v="71"/>
    </i>
    <i>
      <x v="15"/>
    </i>
    <i>
      <x v="5"/>
    </i>
    <i>
      <x v="68"/>
    </i>
    <i>
      <x v="65"/>
    </i>
    <i>
      <x v="39"/>
    </i>
    <i>
      <x v="16"/>
    </i>
    <i>
      <x v="20"/>
    </i>
    <i>
      <x v="45"/>
    </i>
    <i>
      <x v="60"/>
    </i>
    <i>
      <x v="14"/>
    </i>
    <i>
      <x v="7"/>
    </i>
    <i>
      <x v="59"/>
    </i>
    <i>
      <x v="42"/>
    </i>
    <i t="grand">
      <x/>
    </i>
  </rowItems>
  <colItems count="1">
    <i/>
  </colItems>
  <pageFields count="1">
    <pageField fld="1" hier="-1"/>
  </pageFields>
  <dataFields count="1">
    <dataField name="Total Revenue" fld="2" baseField="0" baseItem="0" numFmtId="3"/>
  </dataFields>
  <pivotTableStyleInfo name="PivotStyleMedium18" showRowHeaders="1" showColHeaders="1" showRowStripes="0" showColStripes="0" showLastColumn="1"/>
  <filters count="1">
    <filter fld="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0D0751-D5CF-4D63-8FFF-1DD7EEC329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rowHeaderCaption="Category">
  <location ref="A3:B19" firstHeaderRow="1" firstDataRow="1" firstDataCol="1" rowPageCount="1" colPageCount="1"/>
  <pivotFields count="4">
    <pivotField axis="axisRow" showAll="0" measureFilter="1" sortType="descending">
      <items count="73">
        <item x="30"/>
        <item x="33"/>
        <item x="41"/>
        <item x="65"/>
        <item x="38"/>
        <item x="8"/>
        <item x="11"/>
        <item x="0"/>
        <item x="34"/>
        <item x="55"/>
        <item x="47"/>
        <item x="69"/>
        <item x="57"/>
        <item x="60"/>
        <item x="21"/>
        <item x="4"/>
        <item x="20"/>
        <item x="22"/>
        <item x="37"/>
        <item x="42"/>
        <item x="7"/>
        <item x="48"/>
        <item x="49"/>
        <item x="63"/>
        <item x="45"/>
        <item x="54"/>
        <item x="25"/>
        <item x="62"/>
        <item x="23"/>
        <item x="70"/>
        <item x="52"/>
        <item x="50"/>
        <item x="64"/>
        <item x="53"/>
        <item x="36"/>
        <item x="68"/>
        <item x="40"/>
        <item x="51"/>
        <item x="43"/>
        <item x="5"/>
        <item x="32"/>
        <item x="59"/>
        <item x="12"/>
        <item x="1"/>
        <item x="27"/>
        <item x="28"/>
        <item x="67"/>
        <item x="29"/>
        <item x="26"/>
        <item x="6"/>
        <item x="35"/>
        <item x="31"/>
        <item x="66"/>
        <item x="24"/>
        <item x="44"/>
        <item x="58"/>
        <item x="18"/>
        <item x="13"/>
        <item x="61"/>
        <item x="10"/>
        <item x="16"/>
        <item x="71"/>
        <item x="46"/>
        <item x="17"/>
        <item x="39"/>
        <item x="3"/>
        <item x="15"/>
        <item x="56"/>
        <item x="14"/>
        <item x="9"/>
        <item x="19"/>
        <item x="2"/>
        <item t="default"/>
      </items>
      <autoSortScope>
        <pivotArea dataOnly="0" outline="0" fieldPosition="0">
          <references count="1">
            <reference field="4294967294" count="1" selected="0">
              <x v="0"/>
            </reference>
          </references>
        </pivotArea>
      </autoSortScope>
    </pivotField>
    <pivotField axis="axisPage" multipleItemSelectionAllowed="1" showAll="0">
      <items count="28">
        <item x="25"/>
        <item x="16"/>
        <item x="23"/>
        <item x="24"/>
        <item x="5"/>
        <item x="9"/>
        <item x="8"/>
        <item x="11"/>
        <item x="10"/>
        <item x="17"/>
        <item x="2"/>
        <item x="18"/>
        <item x="14"/>
        <item x="12"/>
        <item x="13"/>
        <item x="7"/>
        <item x="19"/>
        <item x="4"/>
        <item x="1"/>
        <item x="15"/>
        <item x="21"/>
        <item x="26"/>
        <item x="3"/>
        <item x="6"/>
        <item x="20"/>
        <item x="0"/>
        <item x="22"/>
        <item t="default"/>
      </items>
    </pivotField>
    <pivotField dataField="1" showAll="0">
      <items count="1319">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s>
  <rowFields count="1">
    <field x="0"/>
  </rowFields>
  <rowItems count="16">
    <i>
      <x v="43"/>
    </i>
    <i>
      <x v="71"/>
    </i>
    <i>
      <x v="7"/>
    </i>
    <i>
      <x v="65"/>
    </i>
    <i>
      <x v="15"/>
    </i>
    <i>
      <x v="39"/>
    </i>
    <i>
      <x v="49"/>
    </i>
    <i>
      <x v="20"/>
    </i>
    <i>
      <x v="5"/>
    </i>
    <i>
      <x v="42"/>
    </i>
    <i>
      <x v="69"/>
    </i>
    <i>
      <x v="6"/>
    </i>
    <i>
      <x v="59"/>
    </i>
    <i>
      <x v="68"/>
    </i>
    <i>
      <x v="57"/>
    </i>
    <i t="grand">
      <x/>
    </i>
  </rowItems>
  <colItems count="1">
    <i/>
  </colItems>
  <pageFields count="1">
    <pageField fld="1" hier="-1"/>
  </pageFields>
  <dataFields count="1">
    <dataField name="Total Revenue" fld="2" baseField="0" baseItem="0" numFmtId="3"/>
  </dataFields>
  <formats count="12">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28">
            <x v="5"/>
            <x v="6"/>
            <x v="7"/>
            <x v="8"/>
            <x v="12"/>
            <x v="14"/>
            <x v="15"/>
            <x v="16"/>
            <x v="20"/>
            <x v="26"/>
            <x v="28"/>
            <x v="31"/>
            <x v="39"/>
            <x v="40"/>
            <x v="42"/>
            <x v="43"/>
            <x v="49"/>
            <x v="53"/>
            <x v="54"/>
            <x v="56"/>
            <x v="59"/>
            <x v="63"/>
            <x v="65"/>
            <x v="66"/>
            <x v="68"/>
            <x v="69"/>
            <x v="70"/>
            <x v="71"/>
          </reference>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28">
            <x v="5"/>
            <x v="6"/>
            <x v="7"/>
            <x v="8"/>
            <x v="12"/>
            <x v="14"/>
            <x v="15"/>
            <x v="16"/>
            <x v="20"/>
            <x v="26"/>
            <x v="28"/>
            <x v="31"/>
            <x v="39"/>
            <x v="40"/>
            <x v="42"/>
            <x v="43"/>
            <x v="49"/>
            <x v="53"/>
            <x v="54"/>
            <x v="56"/>
            <x v="59"/>
            <x v="63"/>
            <x v="65"/>
            <x v="66"/>
            <x v="68"/>
            <x v="69"/>
            <x v="70"/>
            <x v="71"/>
          </reference>
        </references>
      </pivotArea>
    </format>
    <format dxfId="5">
      <pivotArea dataOnly="0" labelOnly="1" grandRow="1" outline="0" fieldPosition="0"/>
    </format>
    <format dxfId="4">
      <pivotArea dataOnly="0" labelOnly="1" outline="0" axis="axisValues" fieldPosition="0"/>
    </format>
  </formats>
  <chartFormats count="32">
    <chartFormat chart="37" format="0" series="1">
      <pivotArea type="data" outline="0" fieldPosition="0">
        <references count="1">
          <reference field="4294967294" count="1" selected="0">
            <x v="0"/>
          </reference>
        </references>
      </pivotArea>
    </chartFormat>
    <chartFormat chart="44" format="17" series="1">
      <pivotArea type="data" outline="0" fieldPosition="0">
        <references count="1">
          <reference field="4294967294" count="1" selected="0">
            <x v="0"/>
          </reference>
        </references>
      </pivotArea>
    </chartFormat>
    <chartFormat chart="44" format="18">
      <pivotArea type="data" outline="0" fieldPosition="0">
        <references count="2">
          <reference field="4294967294" count="1" selected="0">
            <x v="0"/>
          </reference>
          <reference field="0" count="1" selected="0">
            <x v="43"/>
          </reference>
        </references>
      </pivotArea>
    </chartFormat>
    <chartFormat chart="44" format="19">
      <pivotArea type="data" outline="0" fieldPosition="0">
        <references count="2">
          <reference field="4294967294" count="1" selected="0">
            <x v="0"/>
          </reference>
          <reference field="0" count="1" selected="0">
            <x v="71"/>
          </reference>
        </references>
      </pivotArea>
    </chartFormat>
    <chartFormat chart="44" format="20">
      <pivotArea type="data" outline="0" fieldPosition="0">
        <references count="2">
          <reference field="4294967294" count="1" selected="0">
            <x v="0"/>
          </reference>
          <reference field="0" count="1" selected="0">
            <x v="7"/>
          </reference>
        </references>
      </pivotArea>
    </chartFormat>
    <chartFormat chart="44" format="21">
      <pivotArea type="data" outline="0" fieldPosition="0">
        <references count="2">
          <reference field="4294967294" count="1" selected="0">
            <x v="0"/>
          </reference>
          <reference field="0" count="1" selected="0">
            <x v="65"/>
          </reference>
        </references>
      </pivotArea>
    </chartFormat>
    <chartFormat chart="44" format="22">
      <pivotArea type="data" outline="0" fieldPosition="0">
        <references count="2">
          <reference field="4294967294" count="1" selected="0">
            <x v="0"/>
          </reference>
          <reference field="0" count="1" selected="0">
            <x v="15"/>
          </reference>
        </references>
      </pivotArea>
    </chartFormat>
    <chartFormat chart="44" format="23">
      <pivotArea type="data" outline="0" fieldPosition="0">
        <references count="2">
          <reference field="4294967294" count="1" selected="0">
            <x v="0"/>
          </reference>
          <reference field="0" count="1" selected="0">
            <x v="39"/>
          </reference>
        </references>
      </pivotArea>
    </chartFormat>
    <chartFormat chart="44" format="24">
      <pivotArea type="data" outline="0" fieldPosition="0">
        <references count="2">
          <reference field="4294967294" count="1" selected="0">
            <x v="0"/>
          </reference>
          <reference field="0" count="1" selected="0">
            <x v="49"/>
          </reference>
        </references>
      </pivotArea>
    </chartFormat>
    <chartFormat chart="44" format="25">
      <pivotArea type="data" outline="0" fieldPosition="0">
        <references count="2">
          <reference field="4294967294" count="1" selected="0">
            <x v="0"/>
          </reference>
          <reference field="0" count="1" selected="0">
            <x v="20"/>
          </reference>
        </references>
      </pivotArea>
    </chartFormat>
    <chartFormat chart="44" format="26">
      <pivotArea type="data" outline="0" fieldPosition="0">
        <references count="2">
          <reference field="4294967294" count="1" selected="0">
            <x v="0"/>
          </reference>
          <reference field="0" count="1" selected="0">
            <x v="5"/>
          </reference>
        </references>
      </pivotArea>
    </chartFormat>
    <chartFormat chart="44" format="27">
      <pivotArea type="data" outline="0" fieldPosition="0">
        <references count="2">
          <reference field="4294967294" count="1" selected="0">
            <x v="0"/>
          </reference>
          <reference field="0" count="1" selected="0">
            <x v="42"/>
          </reference>
        </references>
      </pivotArea>
    </chartFormat>
    <chartFormat chart="44" format="28">
      <pivotArea type="data" outline="0" fieldPosition="0">
        <references count="2">
          <reference field="4294967294" count="1" selected="0">
            <x v="0"/>
          </reference>
          <reference field="0" count="1" selected="0">
            <x v="69"/>
          </reference>
        </references>
      </pivotArea>
    </chartFormat>
    <chartFormat chart="44" format="29">
      <pivotArea type="data" outline="0" fieldPosition="0">
        <references count="2">
          <reference field="4294967294" count="1" selected="0">
            <x v="0"/>
          </reference>
          <reference field="0" count="1" selected="0">
            <x v="6"/>
          </reference>
        </references>
      </pivotArea>
    </chartFormat>
    <chartFormat chart="44" format="30">
      <pivotArea type="data" outline="0" fieldPosition="0">
        <references count="2">
          <reference field="4294967294" count="1" selected="0">
            <x v="0"/>
          </reference>
          <reference field="0" count="1" selected="0">
            <x v="59"/>
          </reference>
        </references>
      </pivotArea>
    </chartFormat>
    <chartFormat chart="44" format="31">
      <pivotArea type="data" outline="0" fieldPosition="0">
        <references count="2">
          <reference field="4294967294" count="1" selected="0">
            <x v="0"/>
          </reference>
          <reference field="0" count="1" selected="0">
            <x v="68"/>
          </reference>
        </references>
      </pivotArea>
    </chartFormat>
    <chartFormat chart="44" format="32">
      <pivotArea type="data" outline="0" fieldPosition="0">
        <references count="2">
          <reference field="4294967294" count="1" selected="0">
            <x v="0"/>
          </reference>
          <reference field="0" count="1" selected="0">
            <x v="57"/>
          </reference>
        </references>
      </pivotArea>
    </chartFormat>
    <chartFormat chart="37" format="1">
      <pivotArea type="data" outline="0" fieldPosition="0">
        <references count="2">
          <reference field="4294967294" count="1" selected="0">
            <x v="0"/>
          </reference>
          <reference field="0" count="1" selected="0">
            <x v="43"/>
          </reference>
        </references>
      </pivotArea>
    </chartFormat>
    <chartFormat chart="37" format="2">
      <pivotArea type="data" outline="0" fieldPosition="0">
        <references count="2">
          <reference field="4294967294" count="1" selected="0">
            <x v="0"/>
          </reference>
          <reference field="0" count="1" selected="0">
            <x v="71"/>
          </reference>
        </references>
      </pivotArea>
    </chartFormat>
    <chartFormat chart="37" format="3">
      <pivotArea type="data" outline="0" fieldPosition="0">
        <references count="2">
          <reference field="4294967294" count="1" selected="0">
            <x v="0"/>
          </reference>
          <reference field="0" count="1" selected="0">
            <x v="7"/>
          </reference>
        </references>
      </pivotArea>
    </chartFormat>
    <chartFormat chart="37" format="4">
      <pivotArea type="data" outline="0" fieldPosition="0">
        <references count="2">
          <reference field="4294967294" count="1" selected="0">
            <x v="0"/>
          </reference>
          <reference field="0" count="1" selected="0">
            <x v="65"/>
          </reference>
        </references>
      </pivotArea>
    </chartFormat>
    <chartFormat chart="37" format="5">
      <pivotArea type="data" outline="0" fieldPosition="0">
        <references count="2">
          <reference field="4294967294" count="1" selected="0">
            <x v="0"/>
          </reference>
          <reference field="0" count="1" selected="0">
            <x v="15"/>
          </reference>
        </references>
      </pivotArea>
    </chartFormat>
    <chartFormat chart="37" format="6">
      <pivotArea type="data" outline="0" fieldPosition="0">
        <references count="2">
          <reference field="4294967294" count="1" selected="0">
            <x v="0"/>
          </reference>
          <reference field="0" count="1" selected="0">
            <x v="39"/>
          </reference>
        </references>
      </pivotArea>
    </chartFormat>
    <chartFormat chart="37" format="7">
      <pivotArea type="data" outline="0" fieldPosition="0">
        <references count="2">
          <reference field="4294967294" count="1" selected="0">
            <x v="0"/>
          </reference>
          <reference field="0" count="1" selected="0">
            <x v="49"/>
          </reference>
        </references>
      </pivotArea>
    </chartFormat>
    <chartFormat chart="37" format="8">
      <pivotArea type="data" outline="0" fieldPosition="0">
        <references count="2">
          <reference field="4294967294" count="1" selected="0">
            <x v="0"/>
          </reference>
          <reference field="0" count="1" selected="0">
            <x v="20"/>
          </reference>
        </references>
      </pivotArea>
    </chartFormat>
    <chartFormat chart="37" format="9">
      <pivotArea type="data" outline="0" fieldPosition="0">
        <references count="2">
          <reference field="4294967294" count="1" selected="0">
            <x v="0"/>
          </reference>
          <reference field="0" count="1" selected="0">
            <x v="5"/>
          </reference>
        </references>
      </pivotArea>
    </chartFormat>
    <chartFormat chart="37" format="10">
      <pivotArea type="data" outline="0" fieldPosition="0">
        <references count="2">
          <reference field="4294967294" count="1" selected="0">
            <x v="0"/>
          </reference>
          <reference field="0" count="1" selected="0">
            <x v="42"/>
          </reference>
        </references>
      </pivotArea>
    </chartFormat>
    <chartFormat chart="37" format="11">
      <pivotArea type="data" outline="0" fieldPosition="0">
        <references count="2">
          <reference field="4294967294" count="1" selected="0">
            <x v="0"/>
          </reference>
          <reference field="0" count="1" selected="0">
            <x v="69"/>
          </reference>
        </references>
      </pivotArea>
    </chartFormat>
    <chartFormat chart="37" format="12">
      <pivotArea type="data" outline="0" fieldPosition="0">
        <references count="2">
          <reference field="4294967294" count="1" selected="0">
            <x v="0"/>
          </reference>
          <reference field="0" count="1" selected="0">
            <x v="6"/>
          </reference>
        </references>
      </pivotArea>
    </chartFormat>
    <chartFormat chart="37" format="13">
      <pivotArea type="data" outline="0" fieldPosition="0">
        <references count="2">
          <reference field="4294967294" count="1" selected="0">
            <x v="0"/>
          </reference>
          <reference field="0" count="1" selected="0">
            <x v="59"/>
          </reference>
        </references>
      </pivotArea>
    </chartFormat>
    <chartFormat chart="37" format="14">
      <pivotArea type="data" outline="0" fieldPosition="0">
        <references count="2">
          <reference field="4294967294" count="1" selected="0">
            <x v="0"/>
          </reference>
          <reference field="0" count="1" selected="0">
            <x v="68"/>
          </reference>
        </references>
      </pivotArea>
    </chartFormat>
    <chartFormat chart="37" format="15">
      <pivotArea type="data" outline="0" fieldPosition="0">
        <references count="2">
          <reference field="4294967294" count="1" selected="0">
            <x v="0"/>
          </reference>
          <reference field="0" count="1" selected="0">
            <x v="57"/>
          </reference>
        </references>
      </pivotArea>
    </chartFormat>
  </chartFormats>
  <pivotTableStyleInfo name="PivotStyleMedium18" showRowHeaders="1" showColHeaders="1" showRowStripes="0" showColStripes="0" showLastColumn="1"/>
  <filters count="1">
    <filter fld="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F04146-E94F-4D71-9B05-E874FC424D28}" name="PivotTable1" cacheId="4" applyNumberFormats="0" applyBorderFormats="0" applyFontFormats="0" applyPatternFormats="0" applyAlignmentFormats="0" applyWidthHeightFormats="1" dataCaption="Values" grandTotalCaption="Total Revenue" updatedVersion="8" minRefreshableVersion="3" useAutoFormatting="1" itemPrintTitles="1" createdVersion="8" indent="0" outline="1" outlineData="1" multipleFieldFilters="0" chartFormat="27">
  <location ref="F1:G30" firstHeaderRow="1" firstDataRow="1" firstDataCol="1"/>
  <pivotFields count="6">
    <pivotField axis="axisRow" showAll="0" sortType="ascending">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25">
        <item x="2"/>
        <item x="0"/>
        <item x="1"/>
        <item x="3"/>
        <item x="4"/>
        <item x="6"/>
        <item x="5"/>
        <item x="8"/>
        <item x="9"/>
        <item x="7"/>
        <item x="10"/>
        <item x="11"/>
        <item x="12"/>
        <item x="14"/>
        <item x="16"/>
        <item x="22"/>
        <item x="20"/>
        <item x="21"/>
        <item x="15"/>
        <item x="17"/>
        <item x="19"/>
        <item x="18"/>
        <item x="13"/>
        <item x="23"/>
        <item t="default"/>
      </items>
    </pivotField>
    <pivotField showAll="0"/>
    <pivotField axis="axisRow" showAll="0" sortType="ascending">
      <items count="15">
        <item sd="0" x="1"/>
        <item sd="0" x="2"/>
        <item sd="0" x="3"/>
        <item sd="0" x="4"/>
        <item sd="0" x="5"/>
        <item sd="0" x="6"/>
        <item sd="0" x="7"/>
        <item sd="0" x="8"/>
        <item sd="0" x="9"/>
        <item sd="0" x="10"/>
        <item sd="0" x="11"/>
        <item sd="0" x="12"/>
        <item sd="0" x="0"/>
        <item sd="0" x="13"/>
        <item t="default" sd="0"/>
      </items>
    </pivotField>
    <pivotField showAll="0">
      <items count="7">
        <item sd="0" x="0"/>
        <item sd="0" x="1"/>
        <item sd="0" x="2"/>
        <item sd="0" x="3"/>
        <item sd="0" x="4"/>
        <item sd="0" x="5"/>
        <item t="default" sd="0"/>
      </items>
    </pivotField>
    <pivotField axis="axisRow" showAll="0" sortType="ascending">
      <items count="6">
        <item x="0"/>
        <item x="4"/>
        <item x="1"/>
        <item x="2"/>
        <item x="3"/>
        <item t="default"/>
      </items>
    </pivotField>
  </pivotFields>
  <rowFields count="3">
    <field x="5"/>
    <field x="3"/>
    <field x="0"/>
  </rowFields>
  <rowItems count="29">
    <i>
      <x/>
    </i>
    <i r="1">
      <x v="12"/>
    </i>
    <i>
      <x v="2"/>
    </i>
    <i r="1">
      <x v="8"/>
    </i>
    <i r="1">
      <x v="9"/>
    </i>
    <i r="1">
      <x v="11"/>
    </i>
    <i>
      <x v="3"/>
    </i>
    <i r="1">
      <x/>
    </i>
    <i r="1">
      <x v="1"/>
    </i>
    <i r="1">
      <x v="2"/>
    </i>
    <i r="1">
      <x v="3"/>
    </i>
    <i r="1">
      <x v="4"/>
    </i>
    <i r="1">
      <x v="5"/>
    </i>
    <i r="1">
      <x v="6"/>
    </i>
    <i r="1">
      <x v="7"/>
    </i>
    <i r="1">
      <x v="8"/>
    </i>
    <i r="1">
      <x v="9"/>
    </i>
    <i r="1">
      <x v="10"/>
    </i>
    <i r="1">
      <x v="11"/>
    </i>
    <i>
      <x v="4"/>
    </i>
    <i r="1">
      <x/>
    </i>
    <i r="1">
      <x v="1"/>
    </i>
    <i r="1">
      <x v="2"/>
    </i>
    <i r="1">
      <x v="3"/>
    </i>
    <i r="1">
      <x v="4"/>
    </i>
    <i r="1">
      <x v="5"/>
    </i>
    <i r="1">
      <x v="6"/>
    </i>
    <i r="1">
      <x v="7"/>
    </i>
    <i t="grand">
      <x/>
    </i>
  </rowItems>
  <colItems count="1">
    <i/>
  </colItems>
  <dataFields count="1">
    <dataField name="monthly revenue" fld="1" baseField="3" baseItem="0"/>
  </dataFields>
  <chartFormats count="3">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2B9E4F2-CF0F-4491-9470-B1E80523D425}" autoFormatId="16" applyNumberFormats="0" applyBorderFormats="0" applyFontFormats="0" applyPatternFormats="0" applyAlignmentFormats="0" applyWidthHeightFormats="0">
  <queryTableRefresh nextId="5">
    <queryTableFields count="4">
      <queryTableField id="1" name="category" tableColumnId="1"/>
      <queryTableField id="2" name="total_price" tableColumnId="2"/>
      <queryTableField id="3" name="total_freight_value" tableColumnId="3"/>
      <queryTableField id="4" name="order_cou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80B389E4-E9CD-4E15-BB0B-EA42C1A555D7}" autoFormatId="16" applyNumberFormats="0" applyBorderFormats="0" applyFontFormats="0" applyPatternFormats="0" applyAlignmentFormats="0" applyWidthHeightFormats="0">
  <queryTableRefresh nextId="4">
    <queryTableFields count="3">
      <queryTableField id="1" name="customer_state" tableColumnId="1"/>
      <queryTableField id="2" name="total_price" tableColumnId="2"/>
      <queryTableField id="3" name="order_coun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CDF3F25C-CC38-4A5A-8492-64F1123BAF41}" autoFormatId="16" applyNumberFormats="0" applyBorderFormats="0" applyFontFormats="0" applyPatternFormats="0" applyAlignmentFormats="0" applyWidthHeightFormats="0">
  <queryTableRefresh nextId="4">
    <queryTableFields count="3">
      <queryTableField id="1" name="seller_state" tableColumnId="1"/>
      <queryTableField id="2" name="total_price" tableColumnId="2"/>
      <queryTableField id="3" name="order_coun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D0A7EF42-E15D-4BE2-BD05-F792CE2B1570}" autoFormatId="16" applyNumberFormats="0" applyBorderFormats="0" applyFontFormats="0" applyPatternFormats="0" applyAlignmentFormats="0" applyWidthHeightFormats="0">
  <queryTableRefresh nextId="5">
    <queryTableFields count="4">
      <queryTableField id="1" name="category" tableColumnId="1"/>
      <queryTableField id="2" name="customer_state" tableColumnId="2"/>
      <queryTableField id="3" name="total_price" tableColumnId="3"/>
      <queryTableField id="4" name="order_count"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04D80A6-AC9C-4D33-8E1A-0CC492771790}" autoFormatId="16" applyNumberFormats="0" applyBorderFormats="0" applyFontFormats="0" applyPatternFormats="0" applyAlignmentFormats="0" applyWidthHeightFormats="0">
  <queryTableRefresh nextId="4">
    <queryTableFields count="3">
      <queryTableField id="1" name="month" tableColumnId="1"/>
      <queryTableField id="2" name="total_price" tableColumnId="2"/>
      <queryTableField id="3" name="order_coun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D18EEC2B-8A99-4DD6-8761-28EEED526732}" sourceName="Months (Month)">
  <pivotTables>
    <pivotTable tabId="10" name="PivotTable1"/>
  </pivotTables>
  <data>
    <tabular pivotCacheId="96284351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EB4C74D5-889B-4CDE-9379-85D2D3846442}" sourceName="Years (Month)">
  <pivotTables>
    <pivotTable tabId="10" name="PivotTable1"/>
  </pivotTables>
  <data>
    <tabular pivotCacheId="96284351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onth) 1" xr10:uid="{6AA7193D-D914-49CA-85FB-1B73DEB22864}" cache="Slicer_Months__Month" caption="Months " style="Slicer Style 3" rowHeight="247650"/>
  <slicer name="Years (Month) 1" xr10:uid="{9FBAFD66-8C2F-4880-8C73-AEF4A3A44774}" cache="Slicer_Years__Month" caption="Years " style="Slicer Style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4FEE21-01B1-4193-A66A-5D152C0585B3}" name="sales_per_category_202606221307" displayName="sales_per_category_202606221307" ref="A1:D75" tableType="queryTable" totalsRowCount="1">
  <autoFilter ref="A1:D74" xr:uid="{284FEE21-01B1-4193-A66A-5D152C0585B3}"/>
  <tableColumns count="4">
    <tableColumn id="1" xr3:uid="{2851673E-68B3-477A-BC05-A86731129BCF}" uniqueName="1" name="category" queryTableFieldId="1" dataDxfId="18"/>
    <tableColumn id="2" xr3:uid="{D459ACD9-7D83-47E4-B302-962666F61896}" uniqueName="2" name="total_price" queryTableFieldId="2"/>
    <tableColumn id="3" xr3:uid="{045E04DE-6ABB-4A68-BCB8-3896C940DF6C}" uniqueName="3" name="total_freight_value" totalsRowFunction="sum" queryTableFieldId="3"/>
    <tableColumn id="4" xr3:uid="{533647DB-C622-48D8-82C6-F7C907C9C57E}" uniqueName="4" name="order_count" totalsRowFunction="sum"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5341E3-C620-470A-86A1-F16026EB3C64}" name="sales_per_customer_region_202606221308" displayName="sales_per_customer_region_202606221308" ref="A1:C28" tableType="queryTable" totalsRowShown="0">
  <autoFilter ref="A1:C28" xr:uid="{525341E3-C620-470A-86A1-F16026EB3C64}"/>
  <tableColumns count="3">
    <tableColumn id="1" xr3:uid="{7C0262D3-5A0F-43A5-88BA-F4BC42B9851E}" uniqueName="1" name="customer_state" queryTableFieldId="1" dataDxfId="17"/>
    <tableColumn id="2" xr3:uid="{AE439B30-5E34-4119-A061-ABBCC210E306}" uniqueName="2" name="total_price" queryTableFieldId="2"/>
    <tableColumn id="3" xr3:uid="{E0F2A9D6-595F-479C-B10D-951270EB684F}" uniqueName="3" name="order_count"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695382-F6A7-44D0-B149-2F606628292D}" name="sales_per_seller_region_202606221308" displayName="sales_per_seller_region_202606221308" ref="A1:C24" tableType="queryTable" totalsRowShown="0">
  <autoFilter ref="A1:C24" xr:uid="{44695382-F6A7-44D0-B149-2F606628292D}"/>
  <tableColumns count="3">
    <tableColumn id="1" xr3:uid="{671AC6CA-953E-4D36-98AC-779990B91A3E}" uniqueName="1" name="seller_state" queryTableFieldId="1" dataDxfId="16"/>
    <tableColumn id="2" xr3:uid="{0C515B8F-76A6-4620-A0CF-8FC3BE1C84AC}" uniqueName="2" name="total_price" queryTableFieldId="2"/>
    <tableColumn id="3" xr3:uid="{D1A16E23-86A8-48B4-BEB7-EE43DC229624}" uniqueName="3" name="order_count"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3D696B-7E40-4BE2-AFA2-417097ED5C3C}" name="sales_per_category_region_202606221309" displayName="sales_per_category_region_202606221309" ref="A1:D1383" tableType="queryTable" totalsRowShown="0">
  <autoFilter ref="A1:D1383" xr:uid="{203D696B-7E40-4BE2-AFA2-417097ED5C3C}"/>
  <tableColumns count="4">
    <tableColumn id="1" xr3:uid="{BA6709BD-AF71-46E5-9745-902162C26030}" uniqueName="1" name="category" queryTableFieldId="1" dataDxfId="3"/>
    <tableColumn id="2" xr3:uid="{EC2EB33A-0269-45F6-8161-D7EEB09E54BF}" uniqueName="2" name="customer_state" queryTableFieldId="2" dataDxfId="2"/>
    <tableColumn id="3" xr3:uid="{F1073FC6-05C7-4207-8688-809A6217B8DC}" uniqueName="3" name="total_price" queryTableFieldId="3"/>
    <tableColumn id="4" xr3:uid="{98FC3D5B-1030-4FE4-BEF4-48FDDE6A1631}" uniqueName="4" name="order_count"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D5C80C-C834-488F-829B-C90509674139}" name="Monthly_Sales" displayName="Monthly_Sales" ref="A1:C25" tableType="queryTable" totalsRowShown="0">
  <autoFilter ref="A1:C25" xr:uid="{33D5C80C-C834-488F-829B-C90509674139}"/>
  <tableColumns count="3">
    <tableColumn id="1" xr3:uid="{06F6B3DD-59E9-4A9A-BD40-F11D43ACE656}" uniqueName="1" name="Month" queryTableFieldId="1" dataDxfId="1"/>
    <tableColumn id="2" xr3:uid="{572CF7A5-0579-4207-AAC0-49BA127F700A}" uniqueName="2" name="Total Revenue" queryTableFieldId="2" dataDxfId="0"/>
    <tableColumn id="3" xr3:uid="{7AA07E56-FADD-4532-95D2-829E06B1886D}" uniqueName="3" name="order_count"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7B2B-1E29-41FC-9CCD-465610DAEFD4}">
  <sheetPr>
    <tabColor theme="1" tint="0.249977111117893"/>
    <pageSetUpPr fitToPage="1"/>
  </sheetPr>
  <dimension ref="H6:AT18"/>
  <sheetViews>
    <sheetView showGridLines="0" showRowColHeaders="0" tabSelected="1" zoomScale="95" zoomScaleNormal="95" workbookViewId="0">
      <selection activeCell="L16" sqref="L16"/>
    </sheetView>
  </sheetViews>
  <sheetFormatPr defaultRowHeight="14.4" x14ac:dyDescent="0.3"/>
  <cols>
    <col min="1" max="1" width="22.33203125" style="9" bestFit="1" customWidth="1"/>
    <col min="2" max="2" width="12.109375" style="9" bestFit="1" customWidth="1"/>
    <col min="3" max="3" width="5" style="9" bestFit="1" customWidth="1"/>
    <col min="4" max="4" width="6" style="9" bestFit="1" customWidth="1"/>
    <col min="5" max="6" width="5" style="9" bestFit="1" customWidth="1"/>
    <col min="7" max="7" width="6" style="9" bestFit="1" customWidth="1"/>
    <col min="8" max="8" width="10" style="9" bestFit="1" customWidth="1"/>
    <col min="9" max="10" width="6" style="9" bestFit="1" customWidth="1"/>
    <col min="11" max="11" width="5" style="9" bestFit="1" customWidth="1"/>
    <col min="12" max="12" width="6" style="9" bestFit="1" customWidth="1"/>
    <col min="13" max="13" width="5" style="9" bestFit="1" customWidth="1"/>
    <col min="14" max="15" width="6" style="9" bestFit="1" customWidth="1"/>
    <col min="16" max="17" width="3" style="9" bestFit="1" customWidth="1"/>
    <col min="18" max="19" width="5" style="9" bestFit="1" customWidth="1"/>
    <col min="20" max="20" width="3" style="9" bestFit="1" customWidth="1"/>
    <col min="21" max="21" width="6" style="9" bestFit="1" customWidth="1"/>
    <col min="22" max="23" width="5" style="9" bestFit="1" customWidth="1"/>
    <col min="24" max="24" width="6" style="9" bestFit="1" customWidth="1"/>
    <col min="25" max="25" width="5" style="9" bestFit="1" customWidth="1"/>
    <col min="26" max="26" width="6" style="9" bestFit="1" customWidth="1"/>
    <col min="27" max="29" width="5" style="9" bestFit="1" customWidth="1"/>
    <col min="30" max="30" width="3" style="9" bestFit="1" customWidth="1"/>
    <col min="31" max="32" width="5" style="9" bestFit="1" customWidth="1"/>
    <col min="33" max="33" width="6" style="9" bestFit="1" customWidth="1"/>
    <col min="34" max="34" width="3" style="9" bestFit="1" customWidth="1"/>
    <col min="35" max="35" width="5" style="9" bestFit="1" customWidth="1"/>
    <col min="36" max="36" width="6" style="9" bestFit="1" customWidth="1"/>
    <col min="37" max="38" width="5" style="9" bestFit="1" customWidth="1"/>
    <col min="39" max="39" width="6" style="9" hidden="1" customWidth="1"/>
    <col min="40" max="40" width="3" style="9" hidden="1" customWidth="1"/>
    <col min="41" max="41" width="9" style="9" hidden="1" customWidth="1"/>
    <col min="42" max="42" width="3" style="9" hidden="1" customWidth="1"/>
    <col min="43" max="45" width="5" style="9" hidden="1" customWidth="1"/>
    <col min="46" max="46" width="6" style="9" hidden="1" customWidth="1"/>
    <col min="47" max="47" width="6" style="9" bestFit="1" customWidth="1"/>
    <col min="48" max="48" width="3" style="9" bestFit="1" customWidth="1"/>
    <col min="49" max="49" width="6" style="9" bestFit="1" customWidth="1"/>
    <col min="50" max="51" width="5" style="9" bestFit="1" customWidth="1"/>
    <col min="52" max="52" width="3" style="9" bestFit="1" customWidth="1"/>
    <col min="53" max="54" width="6" style="9" bestFit="1" customWidth="1"/>
    <col min="55" max="55" width="5" style="9" bestFit="1" customWidth="1"/>
    <col min="56" max="56" width="6" style="9" bestFit="1" customWidth="1"/>
    <col min="57" max="57" width="5" style="9" bestFit="1" customWidth="1"/>
    <col min="58" max="59" width="3" style="9" bestFit="1" customWidth="1"/>
    <col min="60" max="64" width="5" style="9" bestFit="1" customWidth="1"/>
    <col min="65" max="65" width="3" style="9" bestFit="1" customWidth="1"/>
    <col min="66" max="66" width="5" style="9" bestFit="1" customWidth="1"/>
    <col min="67" max="67" width="3" style="9" bestFit="1" customWidth="1"/>
    <col min="68" max="68" width="5" style="9" bestFit="1" customWidth="1"/>
    <col min="69" max="71" width="6" style="9" bestFit="1" customWidth="1"/>
    <col min="72" max="72" width="3" style="9" bestFit="1" customWidth="1"/>
    <col min="73" max="73" width="5" style="9" bestFit="1" customWidth="1"/>
    <col min="74" max="74" width="3" style="9" bestFit="1" customWidth="1"/>
    <col min="75" max="75" width="5" style="9" bestFit="1" customWidth="1"/>
    <col min="76" max="76" width="6" style="9" bestFit="1" customWidth="1"/>
    <col min="77" max="77" width="5" style="9" bestFit="1" customWidth="1"/>
    <col min="78" max="78" width="3" style="9" bestFit="1" customWidth="1"/>
    <col min="79" max="79" width="5" style="9" bestFit="1" customWidth="1"/>
    <col min="80" max="80" width="6" style="9" bestFit="1" customWidth="1"/>
    <col min="81" max="82" width="3" style="9" bestFit="1" customWidth="1"/>
    <col min="83" max="83" width="6" style="9" bestFit="1" customWidth="1"/>
    <col min="84" max="84" width="5" style="9" bestFit="1" customWidth="1"/>
    <col min="85" max="87" width="3" style="9" bestFit="1" customWidth="1"/>
    <col min="88" max="89" width="6" style="9" bestFit="1" customWidth="1"/>
    <col min="90" max="90" width="5" style="9" bestFit="1" customWidth="1"/>
    <col min="91" max="91" width="6" style="9" bestFit="1" customWidth="1"/>
    <col min="92" max="92" width="3" style="9" bestFit="1" customWidth="1"/>
    <col min="93" max="93" width="5" style="9" bestFit="1" customWidth="1"/>
    <col min="94" max="94" width="3" style="9" bestFit="1" customWidth="1"/>
    <col min="95" max="95" width="6" style="9" bestFit="1" customWidth="1"/>
    <col min="96" max="96" width="5" style="9" bestFit="1" customWidth="1"/>
    <col min="97" max="97" width="6" style="9" bestFit="1" customWidth="1"/>
    <col min="98" max="98" width="3" style="9" bestFit="1" customWidth="1"/>
    <col min="99" max="99" width="6" style="9" bestFit="1" customWidth="1"/>
    <col min="100" max="100" width="3" style="9" bestFit="1" customWidth="1"/>
    <col min="101" max="101" width="5" style="9" bestFit="1" customWidth="1"/>
    <col min="102" max="103" width="6" style="9" bestFit="1" customWidth="1"/>
    <col min="104" max="104" width="4" style="9" bestFit="1" customWidth="1"/>
    <col min="105" max="108" width="7" style="9" bestFit="1" customWidth="1"/>
    <col min="109" max="109" width="6" style="9" bestFit="1" customWidth="1"/>
    <col min="110" max="110" width="4" style="9" bestFit="1" customWidth="1"/>
    <col min="111" max="111" width="7" style="9" bestFit="1" customWidth="1"/>
    <col min="112" max="112" width="6" style="9" bestFit="1" customWidth="1"/>
    <col min="113" max="113" width="7" style="9" bestFit="1" customWidth="1"/>
    <col min="114" max="114" width="4" style="9" bestFit="1" customWidth="1"/>
    <col min="115" max="115" width="7" style="9" bestFit="1" customWidth="1"/>
    <col min="116" max="116" width="4" style="9" bestFit="1" customWidth="1"/>
    <col min="117" max="117" width="6" style="9" bestFit="1" customWidth="1"/>
    <col min="118" max="118" width="7" style="9" bestFit="1" customWidth="1"/>
    <col min="119" max="119" width="4" style="9" bestFit="1" customWidth="1"/>
    <col min="120" max="121" width="6" style="9" bestFit="1" customWidth="1"/>
    <col min="122" max="122" width="7" style="9" bestFit="1" customWidth="1"/>
    <col min="123" max="123" width="4" style="9" bestFit="1" customWidth="1"/>
    <col min="124" max="126" width="7" style="9" bestFit="1" customWidth="1"/>
    <col min="127" max="127" width="4" style="9" bestFit="1" customWidth="1"/>
    <col min="128" max="128" width="7" style="9" bestFit="1" customWidth="1"/>
    <col min="129" max="129" width="4" style="9" bestFit="1" customWidth="1"/>
    <col min="130" max="130" width="7" style="9" bestFit="1" customWidth="1"/>
    <col min="131" max="132" width="6" style="9" bestFit="1" customWidth="1"/>
    <col min="133" max="134" width="7" style="9" bestFit="1" customWidth="1"/>
    <col min="135" max="136" width="6" style="9" bestFit="1" customWidth="1"/>
    <col min="137" max="138" width="4" style="9" bestFit="1" customWidth="1"/>
    <col min="139" max="139" width="7" style="9" bestFit="1" customWidth="1"/>
    <col min="140" max="140" width="4" style="9" bestFit="1" customWidth="1"/>
    <col min="141" max="142" width="6" style="9" bestFit="1" customWidth="1"/>
    <col min="143" max="143" width="4" style="9" bestFit="1" customWidth="1"/>
    <col min="144" max="145" width="7" style="9" bestFit="1" customWidth="1"/>
    <col min="146" max="146" width="4" style="9" bestFit="1" customWidth="1"/>
    <col min="147" max="148" width="7" style="9" bestFit="1" customWidth="1"/>
    <col min="149" max="149" width="6" style="9" bestFit="1" customWidth="1"/>
    <col min="150" max="152" width="7" style="9" bestFit="1" customWidth="1"/>
    <col min="153" max="154" width="6" style="9" bestFit="1" customWidth="1"/>
    <col min="155" max="155" width="7" style="9" bestFit="1" customWidth="1"/>
    <col min="156" max="156" width="4" style="9" bestFit="1" customWidth="1"/>
    <col min="157" max="157" width="7" style="9" bestFit="1" customWidth="1"/>
    <col min="158" max="158" width="4" style="9" bestFit="1" customWidth="1"/>
    <col min="159" max="159" width="7" style="9" bestFit="1" customWidth="1"/>
    <col min="160" max="160" width="6" style="9" bestFit="1" customWidth="1"/>
    <col min="161" max="161" width="4" style="9" bestFit="1" customWidth="1"/>
    <col min="162" max="164" width="6" style="9" bestFit="1" customWidth="1"/>
    <col min="165" max="172" width="7" style="9" bestFit="1" customWidth="1"/>
    <col min="173" max="174" width="4" style="9" bestFit="1" customWidth="1"/>
    <col min="175" max="175" width="7" style="9" bestFit="1" customWidth="1"/>
    <col min="176" max="176" width="4" style="9" bestFit="1" customWidth="1"/>
    <col min="177" max="177" width="7" style="9" bestFit="1" customWidth="1"/>
    <col min="178" max="178" width="6" style="9" bestFit="1" customWidth="1"/>
    <col min="179" max="180" width="7" style="9" bestFit="1" customWidth="1"/>
    <col min="181" max="181" width="6" style="9" bestFit="1" customWidth="1"/>
    <col min="182" max="182" width="4" style="9" bestFit="1" customWidth="1"/>
    <col min="183" max="183" width="6" style="9" bestFit="1" customWidth="1"/>
    <col min="184" max="184" width="4" style="9" bestFit="1" customWidth="1"/>
    <col min="185" max="185" width="7" style="9" bestFit="1" customWidth="1"/>
    <col min="186" max="188" width="6" style="9" bestFit="1" customWidth="1"/>
    <col min="189" max="189" width="7" style="9" bestFit="1" customWidth="1"/>
    <col min="190" max="191" width="4" style="9" bestFit="1" customWidth="1"/>
    <col min="192" max="192" width="6" style="9" bestFit="1" customWidth="1"/>
    <col min="193" max="193" width="7" style="9" bestFit="1" customWidth="1"/>
    <col min="194" max="197" width="6" style="9" bestFit="1" customWidth="1"/>
    <col min="198" max="198" width="7" style="9" bestFit="1" customWidth="1"/>
    <col min="199" max="200" width="6" style="9" bestFit="1" customWidth="1"/>
    <col min="201" max="201" width="4" style="9" bestFit="1" customWidth="1"/>
    <col min="202" max="203" width="7" style="9" bestFit="1" customWidth="1"/>
    <col min="204" max="204" width="4" style="9" bestFit="1" customWidth="1"/>
    <col min="205" max="206" width="6" style="9" bestFit="1" customWidth="1"/>
    <col min="207" max="207" width="7" style="9" bestFit="1" customWidth="1"/>
    <col min="208" max="208" width="4" style="9" bestFit="1" customWidth="1"/>
    <col min="209" max="210" width="6" style="9" bestFit="1" customWidth="1"/>
    <col min="211" max="213" width="4" style="9" bestFit="1" customWidth="1"/>
    <col min="214" max="214" width="6" style="9" bestFit="1" customWidth="1"/>
    <col min="215" max="215" width="7" style="9" bestFit="1" customWidth="1"/>
    <col min="216" max="216" width="6" style="9" bestFit="1" customWidth="1"/>
    <col min="217" max="217" width="7" style="9" bestFit="1" customWidth="1"/>
    <col min="218" max="218" width="6" style="9" bestFit="1" customWidth="1"/>
    <col min="219" max="219" width="7" style="9" bestFit="1" customWidth="1"/>
    <col min="220" max="220" width="6" style="9" bestFit="1" customWidth="1"/>
    <col min="221" max="221" width="7" style="9" bestFit="1" customWidth="1"/>
    <col min="222" max="222" width="4" style="9" bestFit="1" customWidth="1"/>
    <col min="223" max="224" width="7" style="9" bestFit="1" customWidth="1"/>
    <col min="225" max="225" width="6" style="9" bestFit="1" customWidth="1"/>
    <col min="226" max="227" width="4" style="9" bestFit="1" customWidth="1"/>
    <col min="228" max="229" width="6" style="9" bestFit="1" customWidth="1"/>
    <col min="230" max="231" width="4" style="9" bestFit="1" customWidth="1"/>
    <col min="232" max="232" width="7" style="9" bestFit="1" customWidth="1"/>
    <col min="233" max="233" width="6" style="9" bestFit="1" customWidth="1"/>
    <col min="234" max="234" width="7" style="9" bestFit="1" customWidth="1"/>
    <col min="235" max="235" width="6" style="9" bestFit="1" customWidth="1"/>
    <col min="236" max="236" width="7" style="9" bestFit="1" customWidth="1"/>
    <col min="237" max="238" width="6" style="9" bestFit="1" customWidth="1"/>
    <col min="239" max="239" width="7" style="9" bestFit="1" customWidth="1"/>
    <col min="240" max="240" width="4" style="9" bestFit="1" customWidth="1"/>
    <col min="241" max="243" width="7" style="9" bestFit="1" customWidth="1"/>
    <col min="244" max="244" width="6" style="9" bestFit="1" customWidth="1"/>
    <col min="245" max="246" width="7" style="9" bestFit="1" customWidth="1"/>
    <col min="247" max="247" width="4" style="9" bestFit="1" customWidth="1"/>
    <col min="248" max="249" width="7" style="9" bestFit="1" customWidth="1"/>
    <col min="250" max="252" width="6" style="9" bestFit="1" customWidth="1"/>
    <col min="253" max="255" width="7" style="9" bestFit="1" customWidth="1"/>
    <col min="256" max="256" width="4" style="9" bestFit="1" customWidth="1"/>
    <col min="257" max="257" width="7" style="9" bestFit="1" customWidth="1"/>
    <col min="258" max="260" width="6" style="9" bestFit="1" customWidth="1"/>
    <col min="261" max="263" width="7" style="9" bestFit="1" customWidth="1"/>
    <col min="264" max="266" width="6" style="9" bestFit="1" customWidth="1"/>
    <col min="267" max="267" width="4" style="9" bestFit="1" customWidth="1"/>
    <col min="268" max="268" width="7" style="9" bestFit="1" customWidth="1"/>
    <col min="269" max="269" width="4" style="9" bestFit="1" customWidth="1"/>
    <col min="270" max="271" width="6" style="9" bestFit="1" customWidth="1"/>
    <col min="272" max="275" width="7" style="9" bestFit="1" customWidth="1"/>
    <col min="276" max="277" width="6" style="9" bestFit="1" customWidth="1"/>
    <col min="278" max="279" width="4" style="9" bestFit="1" customWidth="1"/>
    <col min="280" max="280" width="7" style="9" bestFit="1" customWidth="1"/>
    <col min="281" max="281" width="4" style="9" bestFit="1" customWidth="1"/>
    <col min="282" max="282" width="6" style="9" bestFit="1" customWidth="1"/>
    <col min="283" max="283" width="7" style="9" bestFit="1" customWidth="1"/>
    <col min="284" max="284" width="4" style="9" bestFit="1" customWidth="1"/>
    <col min="285" max="285" width="7" style="9" bestFit="1" customWidth="1"/>
    <col min="286" max="286" width="6" style="9" bestFit="1" customWidth="1"/>
    <col min="287" max="288" width="7" style="9" bestFit="1" customWidth="1"/>
    <col min="289" max="290" width="6" style="9" bestFit="1" customWidth="1"/>
    <col min="291" max="291" width="7" style="9" bestFit="1" customWidth="1"/>
    <col min="292" max="293" width="6" style="9" bestFit="1" customWidth="1"/>
    <col min="294" max="295" width="7" style="9" bestFit="1" customWidth="1"/>
    <col min="296" max="296" width="6" style="9" bestFit="1" customWidth="1"/>
    <col min="297" max="297" width="7" style="9" bestFit="1" customWidth="1"/>
    <col min="298" max="299" width="6" style="9" bestFit="1" customWidth="1"/>
    <col min="300" max="300" width="4" style="9" bestFit="1" customWidth="1"/>
    <col min="301" max="301" width="7" style="9" bestFit="1" customWidth="1"/>
    <col min="302" max="302" width="4" style="9" bestFit="1" customWidth="1"/>
    <col min="303" max="304" width="6" style="9" bestFit="1" customWidth="1"/>
    <col min="305" max="306" width="7" style="9" bestFit="1" customWidth="1"/>
    <col min="307" max="307" width="4" style="9" bestFit="1" customWidth="1"/>
    <col min="308" max="308" width="6" style="9" bestFit="1" customWidth="1"/>
    <col min="309" max="317" width="7" style="9" bestFit="1" customWidth="1"/>
    <col min="318" max="319" width="6" style="9" bestFit="1" customWidth="1"/>
    <col min="320" max="320" width="7" style="9" bestFit="1" customWidth="1"/>
    <col min="321" max="321" width="6" style="9" bestFit="1" customWidth="1"/>
    <col min="322" max="322" width="7" style="9" bestFit="1" customWidth="1"/>
    <col min="323" max="323" width="4" style="9" bestFit="1" customWidth="1"/>
    <col min="324" max="325" width="7" style="9" bestFit="1" customWidth="1"/>
    <col min="326" max="328" width="6" style="9" bestFit="1" customWidth="1"/>
    <col min="329" max="330" width="7" style="9" bestFit="1" customWidth="1"/>
    <col min="331" max="332" width="6" style="9" bestFit="1" customWidth="1"/>
    <col min="333" max="334" width="7" style="9" bestFit="1" customWidth="1"/>
    <col min="335" max="335" width="4" style="9" bestFit="1" customWidth="1"/>
    <col min="336" max="336" width="7" style="9" bestFit="1" customWidth="1"/>
    <col min="337" max="337" width="4" style="9" bestFit="1" customWidth="1"/>
    <col min="338" max="338" width="7" style="9" bestFit="1" customWidth="1"/>
    <col min="339" max="341" width="6" style="9" bestFit="1" customWidth="1"/>
    <col min="342" max="342" width="7" style="9" bestFit="1" customWidth="1"/>
    <col min="343" max="345" width="6" style="9" bestFit="1" customWidth="1"/>
    <col min="346" max="346" width="7" style="9" bestFit="1" customWidth="1"/>
    <col min="347" max="347" width="6" style="9" bestFit="1" customWidth="1"/>
    <col min="348" max="348" width="4" style="9" bestFit="1" customWidth="1"/>
    <col min="349" max="349" width="6" style="9" bestFit="1" customWidth="1"/>
    <col min="350" max="350" width="4" style="9" bestFit="1" customWidth="1"/>
    <col min="351" max="352" width="7" style="9" bestFit="1" customWidth="1"/>
    <col min="353" max="354" width="6" style="9" bestFit="1" customWidth="1"/>
    <col min="355" max="356" width="7" style="9" bestFit="1" customWidth="1"/>
    <col min="357" max="358" width="6" style="9" bestFit="1" customWidth="1"/>
    <col min="359" max="362" width="7" style="9" bestFit="1" customWidth="1"/>
    <col min="363" max="363" width="6" style="9" bestFit="1" customWidth="1"/>
    <col min="364" max="366" width="7" style="9" bestFit="1" customWidth="1"/>
    <col min="367" max="367" width="4" style="9" bestFit="1" customWidth="1"/>
    <col min="368" max="368" width="7" style="9" bestFit="1" customWidth="1"/>
    <col min="369" max="370" width="6" style="9" bestFit="1" customWidth="1"/>
    <col min="371" max="371" width="7" style="9" bestFit="1" customWidth="1"/>
    <col min="372" max="372" width="6" style="9" bestFit="1" customWidth="1"/>
    <col min="373" max="373" width="7" style="9" bestFit="1" customWidth="1"/>
    <col min="374" max="374" width="4" style="9" bestFit="1" customWidth="1"/>
    <col min="375" max="380" width="7" style="9" bestFit="1" customWidth="1"/>
    <col min="381" max="381" width="6" style="9" bestFit="1" customWidth="1"/>
    <col min="382" max="383" width="7" style="9" bestFit="1" customWidth="1"/>
    <col min="384" max="385" width="6" style="9" bestFit="1" customWidth="1"/>
    <col min="386" max="386" width="7" style="9" bestFit="1" customWidth="1"/>
    <col min="387" max="387" width="4" style="9" bestFit="1" customWidth="1"/>
    <col min="388" max="388" width="6" style="9" bestFit="1" customWidth="1"/>
    <col min="389" max="389" width="4" style="9" bestFit="1" customWidth="1"/>
    <col min="390" max="390" width="7" style="9" bestFit="1" customWidth="1"/>
    <col min="391" max="392" width="6" style="9" bestFit="1" customWidth="1"/>
    <col min="393" max="393" width="4" style="9" bestFit="1" customWidth="1"/>
    <col min="394" max="396" width="7" style="9" bestFit="1" customWidth="1"/>
    <col min="397" max="397" width="6" style="9" bestFit="1" customWidth="1"/>
    <col min="398" max="398" width="7" style="9" bestFit="1" customWidth="1"/>
    <col min="399" max="399" width="6" style="9" bestFit="1" customWidth="1"/>
    <col min="400" max="402" width="7" style="9" bestFit="1" customWidth="1"/>
    <col min="403" max="403" width="6" style="9" bestFit="1" customWidth="1"/>
    <col min="404" max="404" width="4" style="9" bestFit="1" customWidth="1"/>
    <col min="405" max="411" width="7" style="9" bestFit="1" customWidth="1"/>
    <col min="412" max="414" width="6" style="9" bestFit="1" customWidth="1"/>
    <col min="415" max="416" width="7" style="9" bestFit="1" customWidth="1"/>
    <col min="417" max="417" width="4" style="9" bestFit="1" customWidth="1"/>
    <col min="418" max="420" width="6" style="9" bestFit="1" customWidth="1"/>
    <col min="421" max="424" width="7" style="9" bestFit="1" customWidth="1"/>
    <col min="425" max="427" width="6" style="9" bestFit="1" customWidth="1"/>
    <col min="428" max="428" width="7" style="9" bestFit="1" customWidth="1"/>
    <col min="429" max="429" width="4" style="9" bestFit="1" customWidth="1"/>
    <col min="430" max="432" width="7" style="9" bestFit="1" customWidth="1"/>
    <col min="433" max="433" width="6" style="9" bestFit="1" customWidth="1"/>
    <col min="434" max="434" width="7" style="9" bestFit="1" customWidth="1"/>
    <col min="435" max="435" width="6" style="9" bestFit="1" customWidth="1"/>
    <col min="436" max="445" width="7" style="9" bestFit="1" customWidth="1"/>
    <col min="446" max="446" width="4" style="9" bestFit="1" customWidth="1"/>
    <col min="447" max="448" width="7" style="9" bestFit="1" customWidth="1"/>
    <col min="449" max="449" width="4" style="9" bestFit="1" customWidth="1"/>
    <col min="450" max="451" width="7" style="9" bestFit="1" customWidth="1"/>
    <col min="452" max="453" width="6" style="9" bestFit="1" customWidth="1"/>
    <col min="454" max="455" width="7" style="9" bestFit="1" customWidth="1"/>
    <col min="456" max="456" width="6" style="9" bestFit="1" customWidth="1"/>
    <col min="457" max="457" width="7" style="9" bestFit="1" customWidth="1"/>
    <col min="458" max="458" width="6" style="9" bestFit="1" customWidth="1"/>
    <col min="459" max="459" width="7" style="9" bestFit="1" customWidth="1"/>
    <col min="460" max="461" width="6" style="9" bestFit="1" customWidth="1"/>
    <col min="462" max="464" width="7" style="9" bestFit="1" customWidth="1"/>
    <col min="465" max="465" width="6" style="9" bestFit="1" customWidth="1"/>
    <col min="466" max="472" width="7" style="9" bestFit="1" customWidth="1"/>
    <col min="473" max="474" width="6" style="9" bestFit="1" customWidth="1"/>
    <col min="475" max="477" width="7" style="9" bestFit="1" customWidth="1"/>
    <col min="478" max="478" width="4" style="9" bestFit="1" customWidth="1"/>
    <col min="479" max="481" width="7" style="9" bestFit="1" customWidth="1"/>
    <col min="482" max="482" width="6" style="9" bestFit="1" customWidth="1"/>
    <col min="483" max="483" width="7" style="9" bestFit="1" customWidth="1"/>
    <col min="484" max="484" width="6" style="9" bestFit="1" customWidth="1"/>
    <col min="485" max="486" width="7" style="9" bestFit="1" customWidth="1"/>
    <col min="487" max="488" width="4" style="9" bestFit="1" customWidth="1"/>
    <col min="489" max="490" width="6" style="9" bestFit="1" customWidth="1"/>
    <col min="491" max="491" width="7" style="9" bestFit="1" customWidth="1"/>
    <col min="492" max="492" width="4" style="9" bestFit="1" customWidth="1"/>
    <col min="493" max="493" width="7" style="9" bestFit="1" customWidth="1"/>
    <col min="494" max="495" width="6" style="9" bestFit="1" customWidth="1"/>
    <col min="496" max="497" width="7" style="9" bestFit="1" customWidth="1"/>
    <col min="498" max="498" width="4" style="9" bestFit="1" customWidth="1"/>
    <col min="499" max="499" width="7" style="9" bestFit="1" customWidth="1"/>
    <col min="500" max="500" width="4" style="9" bestFit="1" customWidth="1"/>
    <col min="501" max="502" width="7" style="9" bestFit="1" customWidth="1"/>
    <col min="503" max="503" width="6" style="9" bestFit="1" customWidth="1"/>
    <col min="504" max="507" width="7" style="9" bestFit="1" customWidth="1"/>
    <col min="508" max="509" width="6" style="9" bestFit="1" customWidth="1"/>
    <col min="510" max="510" width="7" style="9" bestFit="1" customWidth="1"/>
    <col min="511" max="511" width="6" style="9" bestFit="1" customWidth="1"/>
    <col min="512" max="514" width="7" style="9" bestFit="1" customWidth="1"/>
    <col min="515" max="515" width="6" style="9" bestFit="1" customWidth="1"/>
    <col min="516" max="519" width="7" style="9" bestFit="1" customWidth="1"/>
    <col min="520" max="520" width="6" style="9" bestFit="1" customWidth="1"/>
    <col min="521" max="521" width="7" style="9" bestFit="1" customWidth="1"/>
    <col min="522" max="522" width="6" style="9" bestFit="1" customWidth="1"/>
    <col min="523" max="528" width="7" style="9" bestFit="1" customWidth="1"/>
    <col min="529" max="529" width="6" style="9" bestFit="1" customWidth="1"/>
    <col min="530" max="534" width="7" style="9" bestFit="1" customWidth="1"/>
    <col min="535" max="535" width="6" style="9" bestFit="1" customWidth="1"/>
    <col min="536" max="537" width="7" style="9" bestFit="1" customWidth="1"/>
    <col min="538" max="538" width="6" style="9" bestFit="1" customWidth="1"/>
    <col min="539" max="540" width="7" style="9" bestFit="1" customWidth="1"/>
    <col min="541" max="541" width="4" style="9" bestFit="1" customWidth="1"/>
    <col min="542" max="547" width="7" style="9" bestFit="1" customWidth="1"/>
    <col min="548" max="549" width="8" style="9" bestFit="1" customWidth="1"/>
    <col min="550" max="550" width="7" style="9" bestFit="1" customWidth="1"/>
    <col min="551" max="557" width="8" style="9" bestFit="1" customWidth="1"/>
    <col min="558" max="558" width="7" style="9" bestFit="1" customWidth="1"/>
    <col min="559" max="560" width="8" style="9" bestFit="1" customWidth="1"/>
    <col min="561" max="561" width="7" style="9" bestFit="1" customWidth="1"/>
    <col min="562" max="562" width="5" style="9" bestFit="1" customWidth="1"/>
    <col min="563" max="571" width="8" style="9" bestFit="1" customWidth="1"/>
    <col min="572" max="572" width="7" style="9" bestFit="1" customWidth="1"/>
    <col min="573" max="579" width="8" style="9" bestFit="1" customWidth="1"/>
    <col min="580" max="580" width="5" style="9" bestFit="1" customWidth="1"/>
    <col min="581" max="584" width="8" style="9" bestFit="1" customWidth="1"/>
    <col min="585" max="586" width="7" style="9" bestFit="1" customWidth="1"/>
    <col min="587" max="587" width="8" style="9" bestFit="1" customWidth="1"/>
    <col min="588" max="589" width="7" style="9" bestFit="1" customWidth="1"/>
    <col min="590" max="595" width="8" style="9" bestFit="1" customWidth="1"/>
    <col min="596" max="596" width="7" style="9" bestFit="1" customWidth="1"/>
    <col min="597" max="597" width="8" style="9" bestFit="1" customWidth="1"/>
    <col min="598" max="598" width="7" style="9" bestFit="1" customWidth="1"/>
    <col min="599" max="599" width="8" style="9" bestFit="1" customWidth="1"/>
    <col min="600" max="600" width="5" style="9" bestFit="1" customWidth="1"/>
    <col min="601" max="601" width="8" style="9" bestFit="1" customWidth="1"/>
    <col min="602" max="602" width="5" style="9" bestFit="1" customWidth="1"/>
    <col min="603" max="603" width="8" style="9" bestFit="1" customWidth="1"/>
    <col min="604" max="604" width="7" style="9" bestFit="1" customWidth="1"/>
    <col min="605" max="609" width="8" style="9" bestFit="1" customWidth="1"/>
    <col min="610" max="610" width="7" style="9" bestFit="1" customWidth="1"/>
    <col min="611" max="615" width="8" style="9" bestFit="1" customWidth="1"/>
    <col min="616" max="616" width="5" style="9" bestFit="1" customWidth="1"/>
    <col min="617" max="618" width="8" style="9" bestFit="1" customWidth="1"/>
    <col min="619" max="620" width="7" style="9" bestFit="1" customWidth="1"/>
    <col min="621" max="622" width="8" style="9" bestFit="1" customWidth="1"/>
    <col min="623" max="623" width="7" style="9" bestFit="1" customWidth="1"/>
    <col min="624" max="625" width="8" style="9" bestFit="1" customWidth="1"/>
    <col min="626" max="626" width="5" style="9" bestFit="1" customWidth="1"/>
    <col min="627" max="627" width="8" style="9" bestFit="1" customWidth="1"/>
    <col min="628" max="628" width="7" style="9" bestFit="1" customWidth="1"/>
    <col min="629" max="630" width="8" style="9" bestFit="1" customWidth="1"/>
    <col min="631" max="631" width="7" style="9" bestFit="1" customWidth="1"/>
    <col min="632" max="633" width="8" style="9" bestFit="1" customWidth="1"/>
    <col min="634" max="634" width="7" style="9" bestFit="1" customWidth="1"/>
    <col min="635" max="636" width="8" style="9" bestFit="1" customWidth="1"/>
    <col min="637" max="638" width="7" style="9" bestFit="1" customWidth="1"/>
    <col min="639" max="640" width="8" style="9" bestFit="1" customWidth="1"/>
    <col min="641" max="641" width="7" style="9" bestFit="1" customWidth="1"/>
    <col min="642" max="645" width="8" style="9" bestFit="1" customWidth="1"/>
    <col min="646" max="646" width="5" style="9" bestFit="1" customWidth="1"/>
    <col min="647" max="648" width="8" style="9" bestFit="1" customWidth="1"/>
    <col min="649" max="649" width="7" style="9" bestFit="1" customWidth="1"/>
    <col min="650" max="650" width="5" style="9" bestFit="1" customWidth="1"/>
    <col min="651" max="651" width="7" style="9" bestFit="1" customWidth="1"/>
    <col min="652" max="661" width="8" style="9" bestFit="1" customWidth="1"/>
    <col min="662" max="663" width="7" style="9" bestFit="1" customWidth="1"/>
    <col min="664" max="667" width="8" style="9" bestFit="1" customWidth="1"/>
    <col min="668" max="669" width="7" style="9" bestFit="1" customWidth="1"/>
    <col min="670" max="670" width="8" style="9" bestFit="1" customWidth="1"/>
    <col min="671" max="671" width="7" style="9" bestFit="1" customWidth="1"/>
    <col min="672" max="674" width="8" style="9" bestFit="1" customWidth="1"/>
    <col min="675" max="675" width="7" style="9" bestFit="1" customWidth="1"/>
    <col min="676" max="685" width="8" style="9" bestFit="1" customWidth="1"/>
    <col min="686" max="687" width="7" style="9" bestFit="1" customWidth="1"/>
    <col min="688" max="693" width="8" style="9" bestFit="1" customWidth="1"/>
    <col min="694" max="695" width="7" style="9" bestFit="1" customWidth="1"/>
    <col min="696" max="696" width="8" style="9" bestFit="1" customWidth="1"/>
    <col min="697" max="697" width="7" style="9" bestFit="1" customWidth="1"/>
    <col min="698" max="699" width="8" style="9" bestFit="1" customWidth="1"/>
    <col min="700" max="700" width="5" style="9" bestFit="1" customWidth="1"/>
    <col min="701" max="706" width="8" style="9" bestFit="1" customWidth="1"/>
    <col min="707" max="707" width="7" style="9" bestFit="1" customWidth="1"/>
    <col min="708" max="717" width="8" style="9" bestFit="1" customWidth="1"/>
    <col min="718" max="718" width="7" style="9" bestFit="1" customWidth="1"/>
    <col min="719" max="719" width="8" style="9" bestFit="1" customWidth="1"/>
    <col min="720" max="720" width="7" style="9" bestFit="1" customWidth="1"/>
    <col min="721" max="722" width="8" style="9" bestFit="1" customWidth="1"/>
    <col min="723" max="723" width="7" style="9" bestFit="1" customWidth="1"/>
    <col min="724" max="729" width="8" style="9" bestFit="1" customWidth="1"/>
    <col min="730" max="731" width="5" style="9" bestFit="1" customWidth="1"/>
    <col min="732" max="743" width="8" style="9" bestFit="1" customWidth="1"/>
    <col min="744" max="744" width="7" style="9" bestFit="1" customWidth="1"/>
    <col min="745" max="752" width="8" style="9" bestFit="1" customWidth="1"/>
    <col min="753" max="753" width="7" style="9" bestFit="1" customWidth="1"/>
    <col min="754" max="759" width="8" style="9" bestFit="1" customWidth="1"/>
    <col min="760" max="760" width="7" style="9" bestFit="1" customWidth="1"/>
    <col min="761" max="761" width="8" style="9" bestFit="1" customWidth="1"/>
    <col min="762" max="763" width="7" style="9" bestFit="1" customWidth="1"/>
    <col min="764" max="764" width="8" style="9" bestFit="1" customWidth="1"/>
    <col min="765" max="765" width="5" style="9" bestFit="1" customWidth="1"/>
    <col min="766" max="768" width="8" style="9" bestFit="1" customWidth="1"/>
    <col min="769" max="769" width="5" style="9" bestFit="1" customWidth="1"/>
    <col min="770" max="771" width="8" style="9" bestFit="1" customWidth="1"/>
    <col min="772" max="772" width="5" style="9" bestFit="1" customWidth="1"/>
    <col min="773" max="783" width="8" style="9" bestFit="1" customWidth="1"/>
    <col min="784" max="784" width="7" style="9" bestFit="1" customWidth="1"/>
    <col min="785" max="787" width="8" style="9" bestFit="1" customWidth="1"/>
    <col min="788" max="788" width="7" style="9" bestFit="1" customWidth="1"/>
    <col min="789" max="790" width="8" style="9" bestFit="1" customWidth="1"/>
    <col min="791" max="791" width="7" style="9" bestFit="1" customWidth="1"/>
    <col min="792" max="792" width="5" style="9" bestFit="1" customWidth="1"/>
    <col min="793" max="794" width="8" style="9" bestFit="1" customWidth="1"/>
    <col min="795" max="796" width="7" style="9" bestFit="1" customWidth="1"/>
    <col min="797" max="802" width="8" style="9" bestFit="1" customWidth="1"/>
    <col min="803" max="803" width="7" style="9" bestFit="1" customWidth="1"/>
    <col min="804" max="809" width="8" style="9" bestFit="1" customWidth="1"/>
    <col min="810" max="810" width="7" style="9" bestFit="1" customWidth="1"/>
    <col min="811" max="818" width="8" style="9" bestFit="1" customWidth="1"/>
    <col min="819" max="819" width="7" style="9" bestFit="1" customWidth="1"/>
    <col min="820" max="829" width="8" style="9" bestFit="1" customWidth="1"/>
    <col min="830" max="830" width="5" style="9" bestFit="1" customWidth="1"/>
    <col min="831" max="831" width="7" style="9" bestFit="1" customWidth="1"/>
    <col min="832" max="832" width="8" style="9" bestFit="1" customWidth="1"/>
    <col min="833" max="833" width="7" style="9" bestFit="1" customWidth="1"/>
    <col min="834" max="835" width="8" style="9" bestFit="1" customWidth="1"/>
    <col min="836" max="836" width="7" style="9" bestFit="1" customWidth="1"/>
    <col min="837" max="842" width="8" style="9" bestFit="1" customWidth="1"/>
    <col min="843" max="843" width="7" style="9" bestFit="1" customWidth="1"/>
    <col min="844" max="858" width="8" style="9" bestFit="1" customWidth="1"/>
    <col min="859" max="859" width="5" style="9" bestFit="1" customWidth="1"/>
    <col min="860" max="865" width="8" style="9" bestFit="1" customWidth="1"/>
    <col min="866" max="866" width="7" style="9" bestFit="1" customWidth="1"/>
    <col min="867" max="872" width="8" style="9" bestFit="1" customWidth="1"/>
    <col min="873" max="873" width="7" style="9" bestFit="1" customWidth="1"/>
    <col min="874" max="881" width="8" style="9" bestFit="1" customWidth="1"/>
    <col min="882" max="882" width="7" style="9" bestFit="1" customWidth="1"/>
    <col min="883" max="883" width="8" style="9" bestFit="1" customWidth="1"/>
    <col min="884" max="884" width="7" style="9" bestFit="1" customWidth="1"/>
    <col min="885" max="892" width="8" style="9" bestFit="1" customWidth="1"/>
    <col min="893" max="893" width="7" style="9" bestFit="1" customWidth="1"/>
    <col min="894" max="895" width="8" style="9" bestFit="1" customWidth="1"/>
    <col min="896" max="897" width="7" style="9" bestFit="1" customWidth="1"/>
    <col min="898" max="904" width="8" style="9" bestFit="1" customWidth="1"/>
    <col min="905" max="905" width="7" style="9" bestFit="1" customWidth="1"/>
    <col min="906" max="930" width="8" style="9" bestFit="1" customWidth="1"/>
    <col min="931" max="931" width="7" style="9" bestFit="1" customWidth="1"/>
    <col min="932" max="937" width="8" style="9" bestFit="1" customWidth="1"/>
    <col min="938" max="938" width="7" style="9" bestFit="1" customWidth="1"/>
    <col min="939" max="942" width="8" style="9" bestFit="1" customWidth="1"/>
    <col min="943" max="943" width="7" style="9" bestFit="1" customWidth="1"/>
    <col min="944" max="949" width="8" style="9" bestFit="1" customWidth="1"/>
    <col min="950" max="950" width="7" style="9" bestFit="1" customWidth="1"/>
    <col min="951" max="972" width="8" style="9" bestFit="1" customWidth="1"/>
    <col min="973" max="973" width="7" style="9" bestFit="1" customWidth="1"/>
    <col min="974" max="982" width="8" style="9" bestFit="1" customWidth="1"/>
    <col min="983" max="983" width="7" style="9" bestFit="1" customWidth="1"/>
    <col min="984" max="988" width="8" style="9" bestFit="1" customWidth="1"/>
    <col min="989" max="989" width="7" style="9" bestFit="1" customWidth="1"/>
    <col min="990" max="1009" width="8" style="9" bestFit="1" customWidth="1"/>
    <col min="1010" max="1010" width="5" style="9" bestFit="1" customWidth="1"/>
    <col min="1011" max="1019" width="8" style="9" bestFit="1" customWidth="1"/>
    <col min="1020" max="1020" width="5" style="9" bestFit="1" customWidth="1"/>
    <col min="1021" max="1029" width="8" style="9" bestFit="1" customWidth="1"/>
    <col min="1030" max="1030" width="7" style="9" bestFit="1" customWidth="1"/>
    <col min="1031" max="1036" width="8" style="9" bestFit="1" customWidth="1"/>
    <col min="1037" max="1037" width="5" style="9" bestFit="1" customWidth="1"/>
    <col min="1038" max="1043" width="8" style="9" bestFit="1" customWidth="1"/>
    <col min="1044" max="1044" width="7" style="9" bestFit="1" customWidth="1"/>
    <col min="1045" max="1050" width="8" style="9" bestFit="1" customWidth="1"/>
    <col min="1051" max="1051" width="5" style="9" bestFit="1" customWidth="1"/>
    <col min="1052" max="1060" width="8" style="9" bestFit="1" customWidth="1"/>
    <col min="1061" max="1061" width="7" style="9" bestFit="1" customWidth="1"/>
    <col min="1062" max="1062" width="8" style="9" bestFit="1" customWidth="1"/>
    <col min="1063" max="1063" width="5" style="9" bestFit="1" customWidth="1"/>
    <col min="1064" max="1073" width="8" style="9" bestFit="1" customWidth="1"/>
    <col min="1074" max="1074" width="7" style="9" bestFit="1" customWidth="1"/>
    <col min="1075" max="1085" width="8" style="9" bestFit="1" customWidth="1"/>
    <col min="1086" max="1088" width="9" style="9" bestFit="1" customWidth="1"/>
    <col min="1089" max="1089" width="8" style="9" bestFit="1" customWidth="1"/>
    <col min="1090" max="1114" width="9" style="9" bestFit="1" customWidth="1"/>
    <col min="1115" max="1115" width="8" style="9" bestFit="1" customWidth="1"/>
    <col min="1116" max="1119" width="9" style="9" bestFit="1" customWidth="1"/>
    <col min="1120" max="1120" width="8" style="9" bestFit="1" customWidth="1"/>
    <col min="1121" max="1140" width="9" style="9" bestFit="1" customWidth="1"/>
    <col min="1141" max="1141" width="8" style="9" bestFit="1" customWidth="1"/>
    <col min="1142" max="1146" width="9" style="9" bestFit="1" customWidth="1"/>
    <col min="1147" max="1147" width="8" style="9" bestFit="1" customWidth="1"/>
    <col min="1148" max="1154" width="9" style="9" bestFit="1" customWidth="1"/>
    <col min="1155" max="1155" width="8" style="9" bestFit="1" customWidth="1"/>
    <col min="1156" max="1156" width="9" style="9" bestFit="1" customWidth="1"/>
    <col min="1157" max="1157" width="8" style="9" bestFit="1" customWidth="1"/>
    <col min="1158" max="1169" width="9" style="9" bestFit="1" customWidth="1"/>
    <col min="1170" max="1170" width="8" style="9" bestFit="1" customWidth="1"/>
    <col min="1171" max="1175" width="9" style="9" bestFit="1" customWidth="1"/>
    <col min="1176" max="1176" width="8" style="9" bestFit="1" customWidth="1"/>
    <col min="1177" max="1182" width="9" style="9" bestFit="1" customWidth="1"/>
    <col min="1183" max="1183" width="6" style="9" bestFit="1" customWidth="1"/>
    <col min="1184" max="1217" width="9" style="9" bestFit="1" customWidth="1"/>
    <col min="1218" max="1219" width="8" style="9" bestFit="1" customWidth="1"/>
    <col min="1220" max="1222" width="9" style="9" bestFit="1" customWidth="1"/>
    <col min="1223" max="1223" width="6" style="9" bestFit="1" customWidth="1"/>
    <col min="1224" max="1225" width="8" style="9" bestFit="1" customWidth="1"/>
    <col min="1226" max="1241" width="9" style="9" bestFit="1" customWidth="1"/>
    <col min="1242" max="1242" width="8" style="9" bestFit="1" customWidth="1"/>
    <col min="1243" max="1251" width="9" style="9" bestFit="1" customWidth="1"/>
    <col min="1252" max="1252" width="8" style="9" bestFit="1" customWidth="1"/>
    <col min="1253" max="1271" width="9" style="9" bestFit="1" customWidth="1"/>
    <col min="1272" max="1273" width="8" style="9" bestFit="1" customWidth="1"/>
    <col min="1274" max="1279" width="9" style="9" bestFit="1" customWidth="1"/>
    <col min="1280" max="1280" width="8" style="9" bestFit="1" customWidth="1"/>
    <col min="1281" max="1286" width="9" style="9" bestFit="1" customWidth="1"/>
    <col min="1287" max="1287" width="8" style="9" bestFit="1" customWidth="1"/>
    <col min="1288" max="1294" width="9" style="9" bestFit="1" customWidth="1"/>
    <col min="1295" max="1298" width="10" style="9" bestFit="1" customWidth="1"/>
    <col min="1299" max="1299" width="9" style="9" bestFit="1" customWidth="1"/>
    <col min="1300" max="1309" width="10" style="9" bestFit="1" customWidth="1"/>
    <col min="1310" max="1311" width="9" style="9" bestFit="1" customWidth="1"/>
    <col min="1312" max="1313" width="10" style="9" bestFit="1" customWidth="1"/>
    <col min="1314" max="1314" width="9" style="9" bestFit="1" customWidth="1"/>
    <col min="1315" max="1315" width="10" style="9" bestFit="1" customWidth="1"/>
    <col min="1316" max="1316" width="7" style="9" bestFit="1" customWidth="1"/>
    <col min="1317" max="1318" width="10" style="9" bestFit="1" customWidth="1"/>
    <col min="1319" max="1319" width="9" style="9" bestFit="1" customWidth="1"/>
    <col min="1320" max="1320" width="10.5546875" style="9" bestFit="1" customWidth="1"/>
    <col min="1321" max="1322" width="21.88671875" style="9" bestFit="1" customWidth="1"/>
    <col min="1323" max="1323" width="24.77734375" style="9" bestFit="1" customWidth="1"/>
    <col min="1324" max="1350" width="10.88671875" style="9" bestFit="1" customWidth="1"/>
    <col min="1351" max="1351" width="13.77734375" style="9" bestFit="1" customWidth="1"/>
    <col min="1352" max="1377" width="10" style="9" bestFit="1" customWidth="1"/>
    <col min="1378" max="1378" width="8.88671875" style="9"/>
    <col min="1379" max="1404" width="14.44140625" style="9" bestFit="1" customWidth="1"/>
    <col min="1405" max="1405" width="17.44140625" style="9" bestFit="1" customWidth="1"/>
    <col min="1406" max="1432" width="13.88671875" style="9" bestFit="1" customWidth="1"/>
    <col min="1433" max="1433" width="16.77734375" style="9" bestFit="1" customWidth="1"/>
    <col min="1434" max="1434" width="10.5546875" style="9" bestFit="1" customWidth="1"/>
    <col min="1435" max="16384" width="8.88671875" style="9"/>
  </cols>
  <sheetData>
    <row r="6" spans="8:39" x14ac:dyDescent="0.3">
      <c r="H6" s="11">
        <f>GETPIVOTDATA("Total Revenue",Monthly_Sales!$F$1)</f>
        <v>13494255.739999998</v>
      </c>
    </row>
    <row r="10" spans="8:39" x14ac:dyDescent="0.3">
      <c r="AM10" s="9" t="s">
        <v>135</v>
      </c>
    </row>
    <row r="18" spans="41:41" x14ac:dyDescent="0.3">
      <c r="AO18" s="10">
        <f>GETPIVOTDATA("Total Revenue",Monthly_Sales!$F$1,"Months (Month)",3,"Years (Month)",2017)</f>
        <v>368341.32</v>
      </c>
    </row>
  </sheetData>
  <sheetProtection sheet="1" objects="1" scenarios="1"/>
  <pageMargins left="0.7" right="0.7" top="0.75" bottom="0.75" header="0.3" footer="0.3"/>
  <pageSetup scale="52"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8DB9-182F-4318-99B8-076C19EA36E2}">
  <dimension ref="A1:G75"/>
  <sheetViews>
    <sheetView zoomScaleNormal="100" workbookViewId="0">
      <selection activeCell="H26" sqref="H26"/>
    </sheetView>
  </sheetViews>
  <sheetFormatPr defaultRowHeight="14.4" x14ac:dyDescent="0.3"/>
  <cols>
    <col min="1" max="1" width="35.109375" bestFit="1" customWidth="1"/>
    <col min="2" max="2" width="12.21875" bestFit="1" customWidth="1"/>
    <col min="3" max="3" width="18.5546875" bestFit="1" customWidth="1"/>
    <col min="4" max="4" width="13.109375" bestFit="1" customWidth="1"/>
    <col min="6" max="6" width="35.109375" bestFit="1" customWidth="1"/>
    <col min="7" max="7" width="16.109375" bestFit="1" customWidth="1"/>
    <col min="8" max="8" width="20.44140625" bestFit="1" customWidth="1"/>
    <col min="9" max="9" width="19" bestFit="1" customWidth="1"/>
  </cols>
  <sheetData>
    <row r="1" spans="1:7" x14ac:dyDescent="0.3">
      <c r="A1" t="s">
        <v>0</v>
      </c>
      <c r="B1" t="s">
        <v>1</v>
      </c>
      <c r="C1" t="s">
        <v>2</v>
      </c>
      <c r="D1" t="s">
        <v>3</v>
      </c>
    </row>
    <row r="2" spans="1:7" x14ac:dyDescent="0.3">
      <c r="A2" t="s">
        <v>4</v>
      </c>
      <c r="B2">
        <v>1255695.1299999999</v>
      </c>
      <c r="C2">
        <v>181970.65</v>
      </c>
      <c r="D2">
        <v>8800</v>
      </c>
    </row>
    <row r="3" spans="1:7" x14ac:dyDescent="0.3">
      <c r="A3" t="s">
        <v>5</v>
      </c>
      <c r="B3">
        <v>1198185.21</v>
      </c>
      <c r="C3">
        <v>100107.26</v>
      </c>
      <c r="D3">
        <v>5604</v>
      </c>
      <c r="F3">
        <f>SUM(B2:B73)</f>
        <v>13494400.739999998</v>
      </c>
    </row>
    <row r="4" spans="1:7" x14ac:dyDescent="0.3">
      <c r="A4" t="s">
        <v>6</v>
      </c>
      <c r="B4">
        <v>1035964.06</v>
      </c>
      <c r="C4">
        <v>204422.07</v>
      </c>
      <c r="D4">
        <v>9399</v>
      </c>
      <c r="F4">
        <f>SUM(sales_per_category_202606221307[total_price])</f>
        <v>16689593.74</v>
      </c>
    </row>
    <row r="5" spans="1:7" x14ac:dyDescent="0.3">
      <c r="A5" t="s">
        <v>7</v>
      </c>
      <c r="B5">
        <v>979740.92</v>
      </c>
      <c r="C5">
        <v>167503.71</v>
      </c>
      <c r="D5">
        <v>7673</v>
      </c>
      <c r="F5">
        <f>F4-F3</f>
        <v>3195193.0000000019</v>
      </c>
    </row>
    <row r="6" spans="1:7" x14ac:dyDescent="0.3">
      <c r="A6" t="s">
        <v>8</v>
      </c>
      <c r="B6">
        <v>904322.02</v>
      </c>
      <c r="C6">
        <v>146619.56</v>
      </c>
      <c r="D6">
        <v>6654</v>
      </c>
      <c r="F6">
        <f>SUM(B17:B73)</f>
        <v>3195193.0000000014</v>
      </c>
    </row>
    <row r="7" spans="1:7" x14ac:dyDescent="0.3">
      <c r="A7" t="s">
        <v>9</v>
      </c>
      <c r="B7">
        <v>727465.05</v>
      </c>
      <c r="C7">
        <v>172160.99</v>
      </c>
      <c r="D7">
        <v>6425</v>
      </c>
    </row>
    <row r="8" spans="1:7" x14ac:dyDescent="0.3">
      <c r="A8" t="s">
        <v>10</v>
      </c>
      <c r="B8">
        <v>626825.80000000005</v>
      </c>
      <c r="C8">
        <v>145209.34</v>
      </c>
      <c r="D8">
        <v>5847</v>
      </c>
      <c r="F8" s="1" t="s">
        <v>112</v>
      </c>
      <c r="G8" t="s">
        <v>113</v>
      </c>
    </row>
    <row r="9" spans="1:7" x14ac:dyDescent="0.3">
      <c r="A9" t="s">
        <v>11</v>
      </c>
      <c r="B9">
        <v>620770.49</v>
      </c>
      <c r="C9">
        <v>83315.75</v>
      </c>
      <c r="D9">
        <v>3616</v>
      </c>
      <c r="F9" s="2" t="s">
        <v>110</v>
      </c>
      <c r="G9">
        <v>3195193.0000000014</v>
      </c>
    </row>
    <row r="10" spans="1:7" x14ac:dyDescent="0.3">
      <c r="A10" t="s">
        <v>12</v>
      </c>
      <c r="B10">
        <v>586585.73</v>
      </c>
      <c r="C10">
        <v>92020.91</v>
      </c>
      <c r="D10">
        <v>3872</v>
      </c>
      <c r="F10" s="2" t="s">
        <v>4</v>
      </c>
      <c r="G10">
        <v>1255695.1299999999</v>
      </c>
    </row>
    <row r="11" spans="1:7" x14ac:dyDescent="0.3">
      <c r="A11" t="s">
        <v>13</v>
      </c>
      <c r="B11">
        <v>481009.94</v>
      </c>
      <c r="C11">
        <v>98515.26</v>
      </c>
      <c r="D11">
        <v>3505</v>
      </c>
      <c r="F11" s="2" t="s">
        <v>5</v>
      </c>
      <c r="G11">
        <v>1198185.21</v>
      </c>
    </row>
    <row r="12" spans="1:7" x14ac:dyDescent="0.3">
      <c r="A12" t="s">
        <v>14</v>
      </c>
      <c r="B12">
        <v>479808.54</v>
      </c>
      <c r="C12">
        <v>76974.75</v>
      </c>
      <c r="D12">
        <v>3855</v>
      </c>
      <c r="F12" s="2" t="s">
        <v>6</v>
      </c>
      <c r="G12">
        <v>1035964.06</v>
      </c>
    </row>
    <row r="13" spans="1:7" x14ac:dyDescent="0.3">
      <c r="A13" t="s">
        <v>15</v>
      </c>
      <c r="B13">
        <v>410312.2</v>
      </c>
      <c r="C13">
        <v>68007.8</v>
      </c>
      <c r="D13">
        <v>2868</v>
      </c>
      <c r="F13" s="2" t="s">
        <v>7</v>
      </c>
      <c r="G13">
        <v>979740.92</v>
      </c>
    </row>
    <row r="14" spans="1:7" x14ac:dyDescent="0.3">
      <c r="A14" t="s">
        <v>16</v>
      </c>
      <c r="B14">
        <v>396599.31</v>
      </c>
      <c r="C14">
        <v>53981.16</v>
      </c>
      <c r="D14">
        <v>3146</v>
      </c>
      <c r="F14" s="2" t="s">
        <v>8</v>
      </c>
      <c r="G14">
        <v>904322.02</v>
      </c>
    </row>
    <row r="15" spans="1:7" x14ac:dyDescent="0.3">
      <c r="A15" t="s">
        <v>17</v>
      </c>
      <c r="B15">
        <v>322342.64</v>
      </c>
      <c r="C15">
        <v>70963.38</v>
      </c>
      <c r="D15">
        <v>4183</v>
      </c>
      <c r="F15" s="2" t="s">
        <v>9</v>
      </c>
      <c r="G15">
        <v>727465.05</v>
      </c>
    </row>
    <row r="16" spans="1:7" x14ac:dyDescent="0.3">
      <c r="A16" t="s">
        <v>18</v>
      </c>
      <c r="B16">
        <v>273580.7</v>
      </c>
      <c r="C16">
        <v>68492.320000000007</v>
      </c>
      <c r="D16">
        <v>1272</v>
      </c>
      <c r="F16" s="2" t="s">
        <v>10</v>
      </c>
      <c r="G16">
        <v>626825.80000000005</v>
      </c>
    </row>
    <row r="17" spans="1:7" x14ac:dyDescent="0.3">
      <c r="A17" t="s">
        <v>19</v>
      </c>
      <c r="B17">
        <v>229593.84</v>
      </c>
      <c r="C17">
        <v>46558.34</v>
      </c>
      <c r="D17">
        <v>2299</v>
      </c>
      <c r="F17" s="2" t="s">
        <v>11</v>
      </c>
      <c r="G17">
        <v>620770.49</v>
      </c>
    </row>
    <row r="18" spans="1:7" x14ac:dyDescent="0.3">
      <c r="A18" t="s">
        <v>20</v>
      </c>
      <c r="B18">
        <v>222963.13</v>
      </c>
      <c r="C18">
        <v>9836.2999999999993</v>
      </c>
      <c r="D18">
        <v>181</v>
      </c>
      <c r="F18" s="2" t="s">
        <v>12</v>
      </c>
      <c r="G18">
        <v>586585.73</v>
      </c>
    </row>
    <row r="19" spans="1:7" x14ac:dyDescent="0.3">
      <c r="A19" t="s">
        <v>21</v>
      </c>
      <c r="B19">
        <v>213766.63</v>
      </c>
      <c r="C19">
        <v>39410.33</v>
      </c>
      <c r="D19">
        <v>1706</v>
      </c>
      <c r="F19" s="2" t="s">
        <v>13</v>
      </c>
      <c r="G19">
        <v>481009.94</v>
      </c>
    </row>
    <row r="20" spans="1:7" x14ac:dyDescent="0.3">
      <c r="A20" t="s">
        <v>22</v>
      </c>
      <c r="B20">
        <v>187907.26</v>
      </c>
      <c r="C20">
        <v>15824.24</v>
      </c>
      <c r="D20">
        <v>622</v>
      </c>
      <c r="F20" s="2" t="s">
        <v>14</v>
      </c>
      <c r="G20">
        <v>479808.54</v>
      </c>
    </row>
    <row r="21" spans="1:7" x14ac:dyDescent="0.3">
      <c r="A21" t="s">
        <v>23</v>
      </c>
      <c r="B21">
        <v>187788.44</v>
      </c>
      <c r="C21">
        <v>18232.88</v>
      </c>
      <c r="D21">
        <v>620</v>
      </c>
      <c r="F21" s="2" t="s">
        <v>15</v>
      </c>
      <c r="G21">
        <v>410312.2</v>
      </c>
    </row>
    <row r="22" spans="1:7" x14ac:dyDescent="0.3">
      <c r="A22" t="s">
        <v>24</v>
      </c>
      <c r="B22">
        <v>183813.13</v>
      </c>
      <c r="C22">
        <v>28369.31</v>
      </c>
      <c r="D22">
        <v>1457</v>
      </c>
      <c r="F22" s="2" t="s">
        <v>16</v>
      </c>
      <c r="G22">
        <v>396599.31</v>
      </c>
    </row>
    <row r="23" spans="1:7" x14ac:dyDescent="0.3">
      <c r="A23" t="s">
        <v>25</v>
      </c>
      <c r="B23">
        <v>157079.54</v>
      </c>
      <c r="C23">
        <v>46337.23</v>
      </c>
      <c r="D23">
        <v>2543</v>
      </c>
      <c r="F23" s="2" t="s">
        <v>17</v>
      </c>
      <c r="G23">
        <v>322342.64</v>
      </c>
    </row>
    <row r="24" spans="1:7" x14ac:dyDescent="0.3">
      <c r="A24" t="s">
        <v>26</v>
      </c>
      <c r="B24">
        <v>154927.26999999999</v>
      </c>
      <c r="C24">
        <v>19712.330000000002</v>
      </c>
      <c r="D24">
        <v>1054</v>
      </c>
      <c r="F24" s="2" t="s">
        <v>18</v>
      </c>
      <c r="G24">
        <v>273580.7</v>
      </c>
    </row>
    <row r="25" spans="1:7" x14ac:dyDescent="0.3">
      <c r="A25" t="s">
        <v>27</v>
      </c>
      <c r="B25">
        <v>151622.75</v>
      </c>
      <c r="C25">
        <v>31312.01</v>
      </c>
      <c r="D25">
        <v>1858</v>
      </c>
      <c r="F25" s="2" t="s">
        <v>107</v>
      </c>
      <c r="G25">
        <v>13494400.740000002</v>
      </c>
    </row>
    <row r="26" spans="1:7" x14ac:dyDescent="0.3">
      <c r="A26" t="s">
        <v>28</v>
      </c>
      <c r="B26">
        <v>144550.19</v>
      </c>
      <c r="C26">
        <v>20629.5</v>
      </c>
      <c r="D26">
        <v>746</v>
      </c>
    </row>
    <row r="27" spans="1:7" x14ac:dyDescent="0.3">
      <c r="A27" t="s">
        <v>29</v>
      </c>
      <c r="B27">
        <v>140111.38</v>
      </c>
      <c r="C27">
        <v>30392.71</v>
      </c>
      <c r="D27">
        <v>1030</v>
      </c>
    </row>
    <row r="28" spans="1:7" x14ac:dyDescent="0.3">
      <c r="A28" t="s">
        <v>30</v>
      </c>
      <c r="B28">
        <v>110649.74</v>
      </c>
      <c r="C28">
        <v>10405.780000000001</v>
      </c>
      <c r="D28">
        <v>231</v>
      </c>
    </row>
    <row r="29" spans="1:7" x14ac:dyDescent="0.3">
      <c r="A29" t="s">
        <v>31</v>
      </c>
      <c r="B29">
        <v>83010.12</v>
      </c>
      <c r="C29">
        <v>13823.5</v>
      </c>
      <c r="D29">
        <v>489</v>
      </c>
    </row>
    <row r="30" spans="1:7" x14ac:dyDescent="0.3">
      <c r="A30" t="s">
        <v>32</v>
      </c>
      <c r="B30">
        <v>80001.240000000005</v>
      </c>
      <c r="C30">
        <v>14770.06</v>
      </c>
      <c r="D30">
        <v>762</v>
      </c>
    </row>
    <row r="31" spans="1:7" x14ac:dyDescent="0.3">
      <c r="A31" t="s">
        <v>33</v>
      </c>
      <c r="B31">
        <v>72530.47</v>
      </c>
      <c r="C31">
        <v>5843.6</v>
      </c>
      <c r="D31">
        <v>182</v>
      </c>
    </row>
    <row r="32" spans="1:7" x14ac:dyDescent="0.3">
      <c r="A32" t="s">
        <v>34</v>
      </c>
      <c r="B32">
        <v>68638.559999999998</v>
      </c>
      <c r="C32">
        <v>17918.740000000002</v>
      </c>
      <c r="D32">
        <v>420</v>
      </c>
    </row>
    <row r="33" spans="1:4" x14ac:dyDescent="0.3">
      <c r="A33" t="s">
        <v>35</v>
      </c>
      <c r="B33">
        <v>58572.04</v>
      </c>
      <c r="C33">
        <v>8501.23</v>
      </c>
      <c r="D33">
        <v>397</v>
      </c>
    </row>
    <row r="34" spans="1:4" x14ac:dyDescent="0.3">
      <c r="A34" t="s">
        <v>36</v>
      </c>
      <c r="B34">
        <v>57824.21</v>
      </c>
      <c r="C34">
        <v>4589.84</v>
      </c>
      <c r="D34">
        <v>214</v>
      </c>
    </row>
    <row r="35" spans="1:4" x14ac:dyDescent="0.3">
      <c r="A35" t="s">
        <v>37</v>
      </c>
      <c r="B35">
        <v>54723.16</v>
      </c>
      <c r="C35">
        <v>6713.41</v>
      </c>
      <c r="D35">
        <v>251</v>
      </c>
    </row>
    <row r="36" spans="1:4" x14ac:dyDescent="0.3">
      <c r="A36" t="s">
        <v>38</v>
      </c>
      <c r="B36">
        <v>50668.6</v>
      </c>
      <c r="C36">
        <v>5702.66</v>
      </c>
      <c r="D36">
        <v>349</v>
      </c>
    </row>
    <row r="37" spans="1:4" x14ac:dyDescent="0.3">
      <c r="A37" t="s">
        <v>39</v>
      </c>
      <c r="B37">
        <v>47445.71</v>
      </c>
      <c r="C37">
        <v>2747.86</v>
      </c>
      <c r="D37">
        <v>75</v>
      </c>
    </row>
    <row r="38" spans="1:4" x14ac:dyDescent="0.3">
      <c r="A38" t="s">
        <v>40</v>
      </c>
      <c r="B38">
        <v>46070.37</v>
      </c>
      <c r="C38">
        <v>11835.39</v>
      </c>
      <c r="D38">
        <v>246</v>
      </c>
    </row>
    <row r="39" spans="1:4" x14ac:dyDescent="0.3">
      <c r="A39" t="s">
        <v>41</v>
      </c>
      <c r="B39">
        <v>45622.29</v>
      </c>
      <c r="C39">
        <v>9036.4</v>
      </c>
      <c r="D39">
        <v>505</v>
      </c>
    </row>
    <row r="40" spans="1:4" x14ac:dyDescent="0.3">
      <c r="A40" t="s">
        <v>42</v>
      </c>
      <c r="B40">
        <v>40002</v>
      </c>
      <c r="C40">
        <v>7509.18</v>
      </c>
      <c r="D40">
        <v>243</v>
      </c>
    </row>
    <row r="41" spans="1:4" x14ac:dyDescent="0.3">
      <c r="A41" t="s">
        <v>43</v>
      </c>
      <c r="B41">
        <v>39669.61</v>
      </c>
      <c r="C41">
        <v>7884.68</v>
      </c>
      <c r="D41">
        <v>235</v>
      </c>
    </row>
    <row r="42" spans="1:4" x14ac:dyDescent="0.3">
      <c r="A42" t="s">
        <v>44</v>
      </c>
      <c r="B42">
        <v>39589.019999999997</v>
      </c>
      <c r="C42">
        <v>3831.57</v>
      </c>
      <c r="D42">
        <v>165</v>
      </c>
    </row>
    <row r="43" spans="1:4" x14ac:dyDescent="0.3">
      <c r="A43" t="s">
        <v>45</v>
      </c>
      <c r="B43">
        <v>29243.51</v>
      </c>
      <c r="C43">
        <v>7253.27</v>
      </c>
      <c r="D43">
        <v>449</v>
      </c>
    </row>
    <row r="44" spans="1:4" x14ac:dyDescent="0.3">
      <c r="A44" t="s">
        <v>46</v>
      </c>
      <c r="B44">
        <v>28288.47</v>
      </c>
      <c r="C44">
        <v>5406.06</v>
      </c>
      <c r="D44">
        <v>279</v>
      </c>
    </row>
    <row r="45" spans="1:4" x14ac:dyDescent="0.3">
      <c r="A45" t="s">
        <v>47</v>
      </c>
      <c r="B45">
        <v>25552.18</v>
      </c>
      <c r="C45">
        <v>5229.71</v>
      </c>
      <c r="D45">
        <v>192</v>
      </c>
    </row>
    <row r="46" spans="1:4" x14ac:dyDescent="0.3">
      <c r="A46" t="s">
        <v>48</v>
      </c>
      <c r="B46">
        <v>24167.64</v>
      </c>
      <c r="C46">
        <v>4028.57</v>
      </c>
      <c r="D46">
        <v>201</v>
      </c>
    </row>
    <row r="47" spans="1:4" x14ac:dyDescent="0.3">
      <c r="A47" t="s">
        <v>49</v>
      </c>
      <c r="B47">
        <v>23352.880000000001</v>
      </c>
      <c r="C47">
        <v>4895.53</v>
      </c>
      <c r="D47">
        <v>238</v>
      </c>
    </row>
    <row r="48" spans="1:4" x14ac:dyDescent="0.3">
      <c r="A48" t="s">
        <v>50</v>
      </c>
      <c r="B48">
        <v>22378.71</v>
      </c>
      <c r="C48">
        <v>5722.04</v>
      </c>
      <c r="D48">
        <v>296</v>
      </c>
    </row>
    <row r="49" spans="1:4" x14ac:dyDescent="0.3">
      <c r="A49" t="s">
        <v>51</v>
      </c>
      <c r="B49">
        <v>21509.23</v>
      </c>
      <c r="C49">
        <v>6507.82</v>
      </c>
      <c r="D49">
        <v>140</v>
      </c>
    </row>
    <row r="50" spans="1:4" x14ac:dyDescent="0.3">
      <c r="A50" t="s">
        <v>52</v>
      </c>
      <c r="B50">
        <v>20028.78</v>
      </c>
      <c r="C50">
        <v>4632.2299999999996</v>
      </c>
      <c r="D50">
        <v>95</v>
      </c>
    </row>
    <row r="51" spans="1:4" x14ac:dyDescent="0.3">
      <c r="A51" t="s">
        <v>53</v>
      </c>
      <c r="B51">
        <v>19096.060000000001</v>
      </c>
      <c r="C51">
        <v>4283.0600000000004</v>
      </c>
      <c r="D51">
        <v>260</v>
      </c>
    </row>
    <row r="52" spans="1:4" x14ac:dyDescent="0.3">
      <c r="A52" t="s">
        <v>54</v>
      </c>
      <c r="B52">
        <v>15903.95</v>
      </c>
      <c r="C52">
        <v>2030.22</v>
      </c>
      <c r="D52">
        <v>97</v>
      </c>
    </row>
    <row r="53" spans="1:4" x14ac:dyDescent="0.3">
      <c r="A53" t="s">
        <v>55</v>
      </c>
      <c r="B53">
        <v>15119.48</v>
      </c>
      <c r="C53">
        <v>4488.62</v>
      </c>
      <c r="D53">
        <v>225</v>
      </c>
    </row>
    <row r="54" spans="1:4" x14ac:dyDescent="0.3">
      <c r="A54" t="s">
        <v>56</v>
      </c>
      <c r="B54">
        <v>10748.82</v>
      </c>
      <c r="C54">
        <v>2144.63</v>
      </c>
      <c r="D54">
        <v>111</v>
      </c>
    </row>
    <row r="55" spans="1:4" x14ac:dyDescent="0.3">
      <c r="A55" t="s">
        <v>57</v>
      </c>
      <c r="B55">
        <v>9541.5499999999993</v>
      </c>
      <c r="C55">
        <v>1916.19</v>
      </c>
      <c r="D55">
        <v>121</v>
      </c>
    </row>
    <row r="56" spans="1:4" x14ac:dyDescent="0.3">
      <c r="A56" t="s">
        <v>58</v>
      </c>
      <c r="B56">
        <v>8787.83</v>
      </c>
      <c r="C56">
        <v>3221.36</v>
      </c>
      <c r="D56">
        <v>127</v>
      </c>
    </row>
    <row r="57" spans="1:4" x14ac:dyDescent="0.3">
      <c r="A57" t="s">
        <v>59</v>
      </c>
      <c r="B57">
        <v>7528.41</v>
      </c>
      <c r="C57">
        <v>1226.2</v>
      </c>
      <c r="D57">
        <v>79</v>
      </c>
    </row>
    <row r="58" spans="1:4" x14ac:dyDescent="0.3">
      <c r="A58" t="s">
        <v>60</v>
      </c>
      <c r="B58">
        <v>6933.46</v>
      </c>
      <c r="C58">
        <v>1256.2</v>
      </c>
      <c r="D58">
        <v>65</v>
      </c>
    </row>
    <row r="59" spans="1:4" x14ac:dyDescent="0.3">
      <c r="A59" t="s">
        <v>61</v>
      </c>
      <c r="B59">
        <v>6034.35</v>
      </c>
      <c r="C59">
        <v>690.51</v>
      </c>
      <c r="D59">
        <v>38</v>
      </c>
    </row>
    <row r="60" spans="1:4" x14ac:dyDescent="0.3">
      <c r="A60" t="s">
        <v>62</v>
      </c>
      <c r="B60">
        <v>4639.8500000000004</v>
      </c>
      <c r="C60">
        <v>769.85</v>
      </c>
      <c r="D60">
        <v>53</v>
      </c>
    </row>
    <row r="61" spans="1:4" x14ac:dyDescent="0.3">
      <c r="A61" t="s">
        <v>63</v>
      </c>
      <c r="B61">
        <v>4559.49</v>
      </c>
      <c r="C61">
        <v>1244.8800000000001</v>
      </c>
      <c r="D61">
        <v>57</v>
      </c>
    </row>
    <row r="62" spans="1:4" x14ac:dyDescent="0.3">
      <c r="A62" t="s">
        <v>64</v>
      </c>
      <c r="B62">
        <v>4485.18</v>
      </c>
      <c r="C62">
        <v>827.97</v>
      </c>
      <c r="D62">
        <v>39</v>
      </c>
    </row>
    <row r="63" spans="1:4" x14ac:dyDescent="0.3">
      <c r="A63" t="s">
        <v>65</v>
      </c>
      <c r="B63">
        <v>4368.08</v>
      </c>
      <c r="C63">
        <v>1630.46</v>
      </c>
      <c r="D63">
        <v>38</v>
      </c>
    </row>
    <row r="64" spans="1:4" x14ac:dyDescent="0.3">
      <c r="A64" t="s">
        <v>66</v>
      </c>
      <c r="B64">
        <v>2803.64</v>
      </c>
      <c r="C64">
        <v>621.75</v>
      </c>
      <c r="D64">
        <v>39</v>
      </c>
    </row>
    <row r="65" spans="1:4" x14ac:dyDescent="0.3">
      <c r="A65" t="s">
        <v>67</v>
      </c>
      <c r="B65">
        <v>2119.5100000000002</v>
      </c>
      <c r="C65">
        <v>578.13</v>
      </c>
      <c r="D65">
        <v>27</v>
      </c>
    </row>
    <row r="66" spans="1:4" x14ac:dyDescent="0.3">
      <c r="A66" t="s">
        <v>68</v>
      </c>
      <c r="B66">
        <v>2054.9899999999998</v>
      </c>
      <c r="C66">
        <v>333.55</v>
      </c>
      <c r="D66">
        <v>13</v>
      </c>
    </row>
    <row r="67" spans="1:4" x14ac:dyDescent="0.3">
      <c r="A67" t="s">
        <v>69</v>
      </c>
      <c r="B67">
        <v>1814.01</v>
      </c>
      <c r="C67">
        <v>370.13</v>
      </c>
      <c r="D67">
        <v>23</v>
      </c>
    </row>
    <row r="68" spans="1:4" x14ac:dyDescent="0.3">
      <c r="A68" t="s">
        <v>70</v>
      </c>
      <c r="B68">
        <v>1538.79</v>
      </c>
      <c r="C68">
        <v>562.46</v>
      </c>
      <c r="D68">
        <v>26</v>
      </c>
    </row>
    <row r="69" spans="1:4" x14ac:dyDescent="0.3">
      <c r="A69" t="s">
        <v>71</v>
      </c>
      <c r="B69">
        <v>1110.04</v>
      </c>
      <c r="C69">
        <v>488.87</v>
      </c>
      <c r="D69">
        <v>29</v>
      </c>
    </row>
    <row r="70" spans="1:4" x14ac:dyDescent="0.3">
      <c r="A70" t="s">
        <v>72</v>
      </c>
      <c r="B70">
        <v>760.27</v>
      </c>
      <c r="C70">
        <v>410.31</v>
      </c>
      <c r="D70">
        <v>24</v>
      </c>
    </row>
    <row r="71" spans="1:4" x14ac:dyDescent="0.3">
      <c r="A71" t="s">
        <v>73</v>
      </c>
      <c r="B71">
        <v>730</v>
      </c>
      <c r="C71">
        <v>224.99</v>
      </c>
      <c r="D71">
        <v>12</v>
      </c>
    </row>
    <row r="72" spans="1:4" x14ac:dyDescent="0.3">
      <c r="A72" t="s">
        <v>74</v>
      </c>
      <c r="B72">
        <v>569.85</v>
      </c>
      <c r="C72">
        <v>95.51</v>
      </c>
      <c r="D72">
        <v>8</v>
      </c>
    </row>
    <row r="73" spans="1:4" x14ac:dyDescent="0.3">
      <c r="A73" t="s">
        <v>75</v>
      </c>
      <c r="B73">
        <v>283.29000000000002</v>
      </c>
      <c r="C73">
        <v>41.22</v>
      </c>
      <c r="D73">
        <v>2</v>
      </c>
    </row>
    <row r="74" spans="1:4" x14ac:dyDescent="0.3">
      <c r="A74" t="s">
        <v>110</v>
      </c>
      <c r="B74">
        <v>3195193.0000000014</v>
      </c>
      <c r="C74" t="s">
        <v>111</v>
      </c>
    </row>
    <row r="75" spans="1:4" x14ac:dyDescent="0.3">
      <c r="C75">
        <f>SUBTOTAL(109,sales_per_category_202606221307[total_freight_value])</f>
        <v>2241126.2900000005</v>
      </c>
      <c r="D75">
        <f>SUBTOTAL(109,sales_per_category_202606221307[order_count])</f>
        <v>99002</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68A1E-99C9-4AA0-BFAA-451621905C52}">
  <dimension ref="A1:F29"/>
  <sheetViews>
    <sheetView zoomScale="79" workbookViewId="0">
      <selection activeCell="S14" sqref="S14"/>
    </sheetView>
  </sheetViews>
  <sheetFormatPr defaultRowHeight="14.4" x14ac:dyDescent="0.3"/>
  <cols>
    <col min="1" max="1" width="16.21875" bestFit="1" customWidth="1"/>
    <col min="2" max="2" width="12.21875" bestFit="1" customWidth="1"/>
    <col min="3" max="3" width="13.109375" bestFit="1" customWidth="1"/>
    <col min="5" max="5" width="17.6640625" bestFit="1" customWidth="1"/>
    <col min="6" max="6" width="19.109375" bestFit="1" customWidth="1"/>
    <col min="15" max="15" width="13.77734375" bestFit="1" customWidth="1"/>
    <col min="16" max="16" width="17.21875" bestFit="1" customWidth="1"/>
    <col min="21" max="21" width="13.77734375" bestFit="1" customWidth="1"/>
    <col min="22" max="22" width="17.21875" bestFit="1" customWidth="1"/>
  </cols>
  <sheetData>
    <row r="1" spans="1:6" x14ac:dyDescent="0.3">
      <c r="A1" t="s">
        <v>76</v>
      </c>
      <c r="B1" t="s">
        <v>1</v>
      </c>
      <c r="C1" t="s">
        <v>3</v>
      </c>
      <c r="E1" s="1" t="s">
        <v>114</v>
      </c>
      <c r="F1" t="s">
        <v>115</v>
      </c>
    </row>
    <row r="2" spans="1:6" x14ac:dyDescent="0.3">
      <c r="A2" t="s">
        <v>77</v>
      </c>
      <c r="B2">
        <v>5163867.22</v>
      </c>
      <c r="C2">
        <v>41125</v>
      </c>
      <c r="E2" s="2" t="s">
        <v>77</v>
      </c>
      <c r="F2">
        <v>5163867.22</v>
      </c>
    </row>
    <row r="3" spans="1:6" x14ac:dyDescent="0.3">
      <c r="A3" t="s">
        <v>78</v>
      </c>
      <c r="B3">
        <v>1811623.42</v>
      </c>
      <c r="C3">
        <v>12697</v>
      </c>
      <c r="E3" s="2" t="s">
        <v>78</v>
      </c>
      <c r="F3">
        <v>1811623.42</v>
      </c>
    </row>
    <row r="4" spans="1:6" x14ac:dyDescent="0.3">
      <c r="A4" t="s">
        <v>79</v>
      </c>
      <c r="B4">
        <v>1573508.2</v>
      </c>
      <c r="C4">
        <v>11496</v>
      </c>
      <c r="E4" s="2" t="s">
        <v>79</v>
      </c>
      <c r="F4">
        <v>1573508.2</v>
      </c>
    </row>
    <row r="5" spans="1:6" x14ac:dyDescent="0.3">
      <c r="A5" t="s">
        <v>80</v>
      </c>
      <c r="B5">
        <v>742559.78</v>
      </c>
      <c r="C5">
        <v>5415</v>
      </c>
      <c r="E5" s="2" t="s">
        <v>80</v>
      </c>
      <c r="F5">
        <v>742559.78</v>
      </c>
    </row>
    <row r="6" spans="1:6" x14ac:dyDescent="0.3">
      <c r="A6" t="s">
        <v>81</v>
      </c>
      <c r="B6">
        <v>676883.06</v>
      </c>
      <c r="C6">
        <v>4982</v>
      </c>
      <c r="E6" s="2" t="s">
        <v>81</v>
      </c>
      <c r="F6">
        <v>676883.06</v>
      </c>
    </row>
    <row r="7" spans="1:6" x14ac:dyDescent="0.3">
      <c r="A7" t="s">
        <v>82</v>
      </c>
      <c r="B7">
        <v>518578.28</v>
      </c>
      <c r="C7">
        <v>3599</v>
      </c>
      <c r="E7" s="2" t="s">
        <v>82</v>
      </c>
      <c r="F7">
        <v>518578.28</v>
      </c>
    </row>
    <row r="8" spans="1:6" x14ac:dyDescent="0.3">
      <c r="A8" t="s">
        <v>83</v>
      </c>
      <c r="B8">
        <v>507108.83</v>
      </c>
      <c r="C8">
        <v>3344</v>
      </c>
      <c r="E8" s="2" t="s">
        <v>83</v>
      </c>
      <c r="F8">
        <v>507108.83</v>
      </c>
    </row>
    <row r="9" spans="1:6" x14ac:dyDescent="0.3">
      <c r="A9" t="s">
        <v>84</v>
      </c>
      <c r="B9">
        <v>300886.45</v>
      </c>
      <c r="C9">
        <v>2120</v>
      </c>
      <c r="E9" s="2" t="s">
        <v>84</v>
      </c>
      <c r="F9">
        <v>300886.45</v>
      </c>
    </row>
    <row r="10" spans="1:6" x14ac:dyDescent="0.3">
      <c r="A10" t="s">
        <v>85</v>
      </c>
      <c r="B10">
        <v>287870.46000000002</v>
      </c>
      <c r="C10">
        <v>1998</v>
      </c>
      <c r="E10" s="2" t="s">
        <v>85</v>
      </c>
      <c r="F10">
        <v>287870.46000000002</v>
      </c>
    </row>
    <row r="11" spans="1:6" x14ac:dyDescent="0.3">
      <c r="A11" t="s">
        <v>86</v>
      </c>
      <c r="B11">
        <v>273532.13</v>
      </c>
      <c r="C11">
        <v>2018</v>
      </c>
      <c r="E11" s="2" t="s">
        <v>86</v>
      </c>
      <c r="F11">
        <v>273532.13</v>
      </c>
    </row>
    <row r="12" spans="1:6" x14ac:dyDescent="0.3">
      <c r="A12" t="s">
        <v>87</v>
      </c>
      <c r="B12">
        <v>261739.94</v>
      </c>
      <c r="C12">
        <v>1643</v>
      </c>
      <c r="E12" s="2" t="s">
        <v>87</v>
      </c>
      <c r="F12">
        <v>261739.94</v>
      </c>
    </row>
    <row r="13" spans="1:6" x14ac:dyDescent="0.3">
      <c r="A13" t="s">
        <v>88</v>
      </c>
      <c r="B13">
        <v>226264.06</v>
      </c>
      <c r="C13">
        <v>1323</v>
      </c>
      <c r="E13" s="2" t="s">
        <v>88</v>
      </c>
      <c r="F13">
        <v>226264.06</v>
      </c>
    </row>
    <row r="14" spans="1:6" x14ac:dyDescent="0.3">
      <c r="A14" t="s">
        <v>89</v>
      </c>
      <c r="B14">
        <v>178821.12</v>
      </c>
      <c r="C14">
        <v>969</v>
      </c>
      <c r="E14" s="2" t="s">
        <v>89</v>
      </c>
      <c r="F14">
        <v>178821.12</v>
      </c>
    </row>
    <row r="15" spans="1:6" x14ac:dyDescent="0.3">
      <c r="A15" t="s">
        <v>90</v>
      </c>
      <c r="B15">
        <v>156313.53</v>
      </c>
      <c r="C15">
        <v>902</v>
      </c>
      <c r="E15" s="2" t="s">
        <v>90</v>
      </c>
      <c r="F15">
        <v>156313.53</v>
      </c>
    </row>
    <row r="16" spans="1:6" x14ac:dyDescent="0.3">
      <c r="A16" t="s">
        <v>91</v>
      </c>
      <c r="B16">
        <v>119291.62</v>
      </c>
      <c r="C16">
        <v>736</v>
      </c>
      <c r="E16" s="2" t="s">
        <v>91</v>
      </c>
      <c r="F16">
        <v>119291.62</v>
      </c>
    </row>
    <row r="17" spans="1:6" x14ac:dyDescent="0.3">
      <c r="A17" t="s">
        <v>92</v>
      </c>
      <c r="B17">
        <v>116754.65</v>
      </c>
      <c r="C17">
        <v>708</v>
      </c>
      <c r="E17" s="2" t="s">
        <v>92</v>
      </c>
      <c r="F17">
        <v>116754.65</v>
      </c>
    </row>
    <row r="18" spans="1:6" x14ac:dyDescent="0.3">
      <c r="A18" t="s">
        <v>93</v>
      </c>
      <c r="B18">
        <v>114874.1</v>
      </c>
      <c r="C18">
        <v>531</v>
      </c>
      <c r="E18" s="2" t="s">
        <v>93</v>
      </c>
      <c r="F18">
        <v>114874.1</v>
      </c>
    </row>
    <row r="19" spans="1:6" x14ac:dyDescent="0.3">
      <c r="A19" t="s">
        <v>94</v>
      </c>
      <c r="B19">
        <v>86660.09</v>
      </c>
      <c r="C19">
        <v>490</v>
      </c>
      <c r="E19" s="2" t="s">
        <v>94</v>
      </c>
      <c r="F19">
        <v>86660.09</v>
      </c>
    </row>
    <row r="20" spans="1:6" x14ac:dyDescent="0.3">
      <c r="A20" t="s">
        <v>95</v>
      </c>
      <c r="B20">
        <v>83034.98</v>
      </c>
      <c r="C20">
        <v>482</v>
      </c>
      <c r="E20" s="2" t="s">
        <v>95</v>
      </c>
      <c r="F20">
        <v>83034.98</v>
      </c>
    </row>
    <row r="21" spans="1:6" x14ac:dyDescent="0.3">
      <c r="A21" t="s">
        <v>96</v>
      </c>
      <c r="B21">
        <v>80314.81</v>
      </c>
      <c r="C21">
        <v>411</v>
      </c>
      <c r="E21" s="2" t="s">
        <v>96</v>
      </c>
      <c r="F21">
        <v>80314.81</v>
      </c>
    </row>
    <row r="22" spans="1:6" x14ac:dyDescent="0.3">
      <c r="A22" t="s">
        <v>97</v>
      </c>
      <c r="B22">
        <v>58920.85</v>
      </c>
      <c r="C22">
        <v>345</v>
      </c>
      <c r="E22" s="2" t="s">
        <v>97</v>
      </c>
      <c r="F22">
        <v>58920.85</v>
      </c>
    </row>
    <row r="23" spans="1:6" x14ac:dyDescent="0.3">
      <c r="A23" t="s">
        <v>98</v>
      </c>
      <c r="B23">
        <v>49407.99</v>
      </c>
      <c r="C23">
        <v>278</v>
      </c>
      <c r="E23" s="2" t="s">
        <v>98</v>
      </c>
      <c r="F23">
        <v>49407.99</v>
      </c>
    </row>
    <row r="24" spans="1:6" x14ac:dyDescent="0.3">
      <c r="A24" t="s">
        <v>99</v>
      </c>
      <c r="B24">
        <v>46031.64</v>
      </c>
      <c r="C24">
        <v>246</v>
      </c>
      <c r="E24" s="2" t="s">
        <v>99</v>
      </c>
      <c r="F24">
        <v>46031.64</v>
      </c>
    </row>
    <row r="25" spans="1:6" x14ac:dyDescent="0.3">
      <c r="A25" t="s">
        <v>100</v>
      </c>
      <c r="B25">
        <v>22356.84</v>
      </c>
      <c r="C25">
        <v>147</v>
      </c>
      <c r="E25" s="2" t="s">
        <v>100</v>
      </c>
      <c r="F25">
        <v>22356.84</v>
      </c>
    </row>
    <row r="26" spans="1:6" x14ac:dyDescent="0.3">
      <c r="A26" t="s">
        <v>101</v>
      </c>
      <c r="B26">
        <v>15982.95</v>
      </c>
      <c r="C26">
        <v>81</v>
      </c>
      <c r="E26" s="2" t="s">
        <v>101</v>
      </c>
      <c r="F26">
        <v>15982.95</v>
      </c>
    </row>
    <row r="27" spans="1:6" x14ac:dyDescent="0.3">
      <c r="A27" t="s">
        <v>102</v>
      </c>
      <c r="B27">
        <v>13474.3</v>
      </c>
      <c r="C27">
        <v>68</v>
      </c>
      <c r="E27" s="2" t="s">
        <v>102</v>
      </c>
      <c r="F27">
        <v>13474.3</v>
      </c>
    </row>
    <row r="28" spans="1:6" x14ac:dyDescent="0.3">
      <c r="A28" t="s">
        <v>103</v>
      </c>
      <c r="B28">
        <v>7739.44</v>
      </c>
      <c r="C28">
        <v>45</v>
      </c>
      <c r="E28" s="2" t="s">
        <v>103</v>
      </c>
      <c r="F28">
        <v>7739.44</v>
      </c>
    </row>
    <row r="29" spans="1:6" x14ac:dyDescent="0.3">
      <c r="E29" s="2" t="s">
        <v>107</v>
      </c>
      <c r="F29">
        <v>13494400.74</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830E-94A5-435C-BD07-A07396FB5684}">
  <dimension ref="A1:F25"/>
  <sheetViews>
    <sheetView workbookViewId="0">
      <selection activeCell="C27" sqref="C27"/>
    </sheetView>
  </sheetViews>
  <sheetFormatPr defaultRowHeight="14.4" x14ac:dyDescent="0.3"/>
  <cols>
    <col min="1" max="1" width="12.88671875" bestFit="1" customWidth="1"/>
    <col min="2" max="2" width="12.21875" bestFit="1" customWidth="1"/>
    <col min="3" max="3" width="13.109375" bestFit="1" customWidth="1"/>
    <col min="5" max="5" width="12.88671875" bestFit="1" customWidth="1"/>
    <col min="6" max="6" width="17.21875" bestFit="1" customWidth="1"/>
  </cols>
  <sheetData>
    <row r="1" spans="1:6" x14ac:dyDescent="0.3">
      <c r="A1" t="s">
        <v>104</v>
      </c>
      <c r="B1" t="s">
        <v>1</v>
      </c>
      <c r="C1" t="s">
        <v>3</v>
      </c>
      <c r="E1" s="1" t="s">
        <v>116</v>
      </c>
      <c r="F1" t="s">
        <v>115</v>
      </c>
    </row>
    <row r="2" spans="1:6" x14ac:dyDescent="0.3">
      <c r="A2" t="s">
        <v>77</v>
      </c>
      <c r="B2">
        <v>8687740.3499999996</v>
      </c>
      <c r="C2">
        <v>69854</v>
      </c>
      <c r="E2" s="2" t="s">
        <v>77</v>
      </c>
      <c r="F2">
        <v>8687740.3499999996</v>
      </c>
    </row>
    <row r="3" spans="1:6" x14ac:dyDescent="0.3">
      <c r="A3" t="s">
        <v>81</v>
      </c>
      <c r="B3">
        <v>1256874.01</v>
      </c>
      <c r="C3">
        <v>7647</v>
      </c>
      <c r="E3" s="2" t="s">
        <v>81</v>
      </c>
      <c r="F3">
        <v>1256874.01</v>
      </c>
    </row>
    <row r="4" spans="1:6" x14ac:dyDescent="0.3">
      <c r="A4" t="s">
        <v>79</v>
      </c>
      <c r="B4">
        <v>1001944.76</v>
      </c>
      <c r="C4">
        <v>7880</v>
      </c>
      <c r="E4" s="2" t="s">
        <v>79</v>
      </c>
      <c r="F4">
        <v>1001944.76</v>
      </c>
    </row>
    <row r="5" spans="1:6" x14ac:dyDescent="0.3">
      <c r="A5" t="s">
        <v>78</v>
      </c>
      <c r="B5">
        <v>837466.37</v>
      </c>
      <c r="C5">
        <v>4330</v>
      </c>
      <c r="E5" s="2" t="s">
        <v>78</v>
      </c>
      <c r="F5">
        <v>837466.37</v>
      </c>
    </row>
    <row r="6" spans="1:6" x14ac:dyDescent="0.3">
      <c r="A6" t="s">
        <v>82</v>
      </c>
      <c r="B6">
        <v>624002.96</v>
      </c>
      <c r="C6">
        <v>3649</v>
      </c>
      <c r="E6" s="2" t="s">
        <v>82</v>
      </c>
      <c r="F6">
        <v>624002.96</v>
      </c>
    </row>
    <row r="7" spans="1:6" x14ac:dyDescent="0.3">
      <c r="A7" t="s">
        <v>80</v>
      </c>
      <c r="B7">
        <v>377726.85</v>
      </c>
      <c r="C7">
        <v>1983</v>
      </c>
      <c r="E7" s="2" t="s">
        <v>80</v>
      </c>
      <c r="F7">
        <v>377726.85</v>
      </c>
    </row>
    <row r="8" spans="1:6" x14ac:dyDescent="0.3">
      <c r="A8" t="s">
        <v>83</v>
      </c>
      <c r="B8">
        <v>285332.57</v>
      </c>
      <c r="C8">
        <v>567</v>
      </c>
      <c r="E8" s="2" t="s">
        <v>83</v>
      </c>
      <c r="F8">
        <v>285332.57</v>
      </c>
    </row>
    <row r="9" spans="1:6" x14ac:dyDescent="0.3">
      <c r="A9" t="s">
        <v>84</v>
      </c>
      <c r="B9">
        <v>97100.479999999996</v>
      </c>
      <c r="C9">
        <v>821</v>
      </c>
      <c r="E9" s="2" t="s">
        <v>84</v>
      </c>
      <c r="F9">
        <v>97100.479999999996</v>
      </c>
    </row>
    <row r="10" spans="1:6" x14ac:dyDescent="0.3">
      <c r="A10" t="s">
        <v>87</v>
      </c>
      <c r="B10">
        <v>91463.95</v>
      </c>
      <c r="C10">
        <v>405</v>
      </c>
      <c r="E10" s="2" t="s">
        <v>87</v>
      </c>
      <c r="F10">
        <v>91463.95</v>
      </c>
    </row>
    <row r="11" spans="1:6" x14ac:dyDescent="0.3">
      <c r="A11" t="s">
        <v>85</v>
      </c>
      <c r="B11">
        <v>66251.72</v>
      </c>
      <c r="C11">
        <v>460</v>
      </c>
      <c r="E11" s="2" t="s">
        <v>85</v>
      </c>
      <c r="F11">
        <v>66251.72</v>
      </c>
    </row>
    <row r="12" spans="1:6" x14ac:dyDescent="0.3">
      <c r="A12" t="s">
        <v>86</v>
      </c>
      <c r="B12">
        <v>47629.62</v>
      </c>
      <c r="C12">
        <v>317</v>
      </c>
      <c r="E12" s="2" t="s">
        <v>86</v>
      </c>
      <c r="F12">
        <v>47629.62</v>
      </c>
    </row>
    <row r="13" spans="1:6" x14ac:dyDescent="0.3">
      <c r="A13" t="s">
        <v>91</v>
      </c>
      <c r="B13">
        <v>36408.949999999997</v>
      </c>
      <c r="C13">
        <v>392</v>
      </c>
      <c r="E13" s="2" t="s">
        <v>91</v>
      </c>
      <c r="F13">
        <v>36408.949999999997</v>
      </c>
    </row>
    <row r="14" spans="1:6" x14ac:dyDescent="0.3">
      <c r="A14" t="s">
        <v>88</v>
      </c>
      <c r="B14">
        <v>20175.740000000002</v>
      </c>
      <c r="C14">
        <v>90</v>
      </c>
      <c r="E14" s="2" t="s">
        <v>88</v>
      </c>
      <c r="F14">
        <v>20175.740000000002</v>
      </c>
    </row>
    <row r="15" spans="1:6" x14ac:dyDescent="0.3">
      <c r="A15" t="s">
        <v>93</v>
      </c>
      <c r="B15">
        <v>17095</v>
      </c>
      <c r="C15">
        <v>36</v>
      </c>
      <c r="E15" s="2" t="s">
        <v>93</v>
      </c>
      <c r="F15">
        <v>17095</v>
      </c>
    </row>
    <row r="16" spans="1:6" x14ac:dyDescent="0.3">
      <c r="A16" t="s">
        <v>90</v>
      </c>
      <c r="B16">
        <v>17070.72</v>
      </c>
      <c r="C16">
        <v>137</v>
      </c>
      <c r="E16" s="2" t="s">
        <v>90</v>
      </c>
      <c r="F16">
        <v>17070.72</v>
      </c>
    </row>
    <row r="17" spans="1:6" x14ac:dyDescent="0.3">
      <c r="A17" t="s">
        <v>95</v>
      </c>
      <c r="B17">
        <v>9992.6</v>
      </c>
      <c r="C17">
        <v>51</v>
      </c>
      <c r="E17" s="2" t="s">
        <v>95</v>
      </c>
      <c r="F17">
        <v>9992.6</v>
      </c>
    </row>
    <row r="18" spans="1:6" x14ac:dyDescent="0.3">
      <c r="A18" t="s">
        <v>92</v>
      </c>
      <c r="B18">
        <v>8551.69</v>
      </c>
      <c r="C18">
        <v>49</v>
      </c>
      <c r="E18" s="2" t="s">
        <v>92</v>
      </c>
      <c r="F18">
        <v>8551.69</v>
      </c>
    </row>
    <row r="19" spans="1:6" x14ac:dyDescent="0.3">
      <c r="A19" t="s">
        <v>99</v>
      </c>
      <c r="B19">
        <v>4762.2</v>
      </c>
      <c r="C19">
        <v>14</v>
      </c>
      <c r="E19" s="2" t="s">
        <v>99</v>
      </c>
      <c r="F19">
        <v>4762.2</v>
      </c>
    </row>
    <row r="20" spans="1:6" x14ac:dyDescent="0.3">
      <c r="A20" t="s">
        <v>94</v>
      </c>
      <c r="B20">
        <v>2522</v>
      </c>
      <c r="C20">
        <v>12</v>
      </c>
      <c r="E20" s="2" t="s">
        <v>94</v>
      </c>
      <c r="F20">
        <v>2522</v>
      </c>
    </row>
    <row r="21" spans="1:6" x14ac:dyDescent="0.3">
      <c r="A21" t="s">
        <v>97</v>
      </c>
      <c r="B21">
        <v>1606.2</v>
      </c>
      <c r="C21">
        <v>9</v>
      </c>
      <c r="E21" s="2" t="s">
        <v>97</v>
      </c>
      <c r="F21">
        <v>1606.2</v>
      </c>
    </row>
    <row r="22" spans="1:6" x14ac:dyDescent="0.3">
      <c r="A22" t="s">
        <v>89</v>
      </c>
      <c r="B22">
        <v>1238</v>
      </c>
      <c r="C22">
        <v>8</v>
      </c>
      <c r="E22" s="2" t="s">
        <v>89</v>
      </c>
      <c r="F22">
        <v>1238</v>
      </c>
    </row>
    <row r="23" spans="1:6" x14ac:dyDescent="0.3">
      <c r="A23" t="s">
        <v>100</v>
      </c>
      <c r="B23">
        <v>1177</v>
      </c>
      <c r="C23">
        <v>3</v>
      </c>
      <c r="E23" s="2" t="s">
        <v>100</v>
      </c>
      <c r="F23">
        <v>1177</v>
      </c>
    </row>
    <row r="24" spans="1:6" x14ac:dyDescent="0.3">
      <c r="A24" t="s">
        <v>101</v>
      </c>
      <c r="B24">
        <v>267</v>
      </c>
      <c r="C24">
        <v>1</v>
      </c>
      <c r="E24" s="2" t="s">
        <v>101</v>
      </c>
      <c r="F24">
        <v>267</v>
      </c>
    </row>
    <row r="25" spans="1:6" x14ac:dyDescent="0.3">
      <c r="E25" s="2" t="s">
        <v>107</v>
      </c>
      <c r="F25">
        <v>13494400.74</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E1CC-BCB4-4A3B-990C-A75ACFC1B00F}">
  <dimension ref="A1:B19"/>
  <sheetViews>
    <sheetView workbookViewId="0">
      <selection activeCell="D6" sqref="D6"/>
    </sheetView>
  </sheetViews>
  <sheetFormatPr defaultRowHeight="14.4" x14ac:dyDescent="0.3"/>
  <cols>
    <col min="1" max="1" width="20.44140625" bestFit="1" customWidth="1"/>
    <col min="2" max="2" width="12.109375" bestFit="1" customWidth="1"/>
    <col min="3" max="3" width="5" bestFit="1" customWidth="1"/>
    <col min="4" max="4" width="6" bestFit="1" customWidth="1"/>
    <col min="5" max="6" width="5" bestFit="1" customWidth="1"/>
    <col min="7" max="7" width="6" bestFit="1" customWidth="1"/>
    <col min="8" max="8" width="5" bestFit="1" customWidth="1"/>
    <col min="9" max="10" width="6" bestFit="1" customWidth="1"/>
    <col min="11" max="11" width="5" bestFit="1" customWidth="1"/>
    <col min="12" max="12" width="6" bestFit="1" customWidth="1"/>
    <col min="13" max="13" width="5" bestFit="1" customWidth="1"/>
    <col min="14" max="15" width="6" bestFit="1" customWidth="1"/>
    <col min="16" max="17" width="3" bestFit="1" customWidth="1"/>
    <col min="18" max="19" width="5" bestFit="1" customWidth="1"/>
    <col min="20" max="20" width="3" bestFit="1" customWidth="1"/>
    <col min="21" max="21" width="6" bestFit="1" customWidth="1"/>
    <col min="22" max="23" width="5" bestFit="1" customWidth="1"/>
    <col min="24" max="24" width="6" bestFit="1" customWidth="1"/>
    <col min="25" max="25" width="5" bestFit="1" customWidth="1"/>
    <col min="26" max="26" width="6" bestFit="1" customWidth="1"/>
    <col min="27" max="29" width="5" bestFit="1" customWidth="1"/>
    <col min="30" max="30" width="3" bestFit="1" customWidth="1"/>
    <col min="31" max="32" width="5" bestFit="1" customWidth="1"/>
    <col min="33" max="33" width="6" bestFit="1" customWidth="1"/>
    <col min="34" max="34" width="3" bestFit="1" customWidth="1"/>
    <col min="35" max="35" width="5" bestFit="1" customWidth="1"/>
    <col min="36" max="36" width="6" bestFit="1" customWidth="1"/>
    <col min="37" max="38" width="5" bestFit="1" customWidth="1"/>
    <col min="39" max="39" width="6" bestFit="1" customWidth="1"/>
    <col min="40" max="40" width="3" bestFit="1" customWidth="1"/>
    <col min="41" max="41" width="6" bestFit="1" customWidth="1"/>
    <col min="42" max="42" width="3" bestFit="1" customWidth="1"/>
    <col min="43" max="45" width="5" bestFit="1" customWidth="1"/>
    <col min="46" max="47" width="6" bestFit="1" customWidth="1"/>
    <col min="48" max="48" width="3" bestFit="1" customWidth="1"/>
    <col min="49" max="49" width="6" bestFit="1" customWidth="1"/>
    <col min="50" max="51" width="5" bestFit="1" customWidth="1"/>
    <col min="52" max="52" width="3" bestFit="1" customWidth="1"/>
    <col min="53" max="54" width="6" bestFit="1" customWidth="1"/>
    <col min="55" max="55" width="5" bestFit="1" customWidth="1"/>
    <col min="56" max="56" width="6" bestFit="1" customWidth="1"/>
    <col min="57" max="57" width="5" bestFit="1" customWidth="1"/>
    <col min="58" max="59" width="3" bestFit="1" customWidth="1"/>
    <col min="60" max="64" width="5" bestFit="1" customWidth="1"/>
    <col min="65" max="65" width="3" bestFit="1" customWidth="1"/>
    <col min="66" max="66" width="5" bestFit="1" customWidth="1"/>
    <col min="67" max="67" width="3" bestFit="1" customWidth="1"/>
    <col min="68" max="68" width="5" bestFit="1" customWidth="1"/>
    <col min="69" max="71" width="6" bestFit="1" customWidth="1"/>
    <col min="72" max="72" width="3" bestFit="1" customWidth="1"/>
    <col min="73" max="73" width="5" bestFit="1" customWidth="1"/>
    <col min="74" max="74" width="3" bestFit="1" customWidth="1"/>
    <col min="75" max="75" width="5" bestFit="1" customWidth="1"/>
    <col min="76" max="76" width="6" bestFit="1" customWidth="1"/>
    <col min="77" max="77" width="5" bestFit="1" customWidth="1"/>
    <col min="78" max="78" width="3" bestFit="1" customWidth="1"/>
    <col min="79" max="79" width="5" bestFit="1" customWidth="1"/>
    <col min="80" max="80" width="6" bestFit="1" customWidth="1"/>
    <col min="81" max="82" width="3" bestFit="1" customWidth="1"/>
    <col min="83" max="83" width="6" bestFit="1" customWidth="1"/>
    <col min="84" max="84" width="5" bestFit="1" customWidth="1"/>
    <col min="85" max="87" width="3" bestFit="1" customWidth="1"/>
    <col min="88" max="89" width="6" bestFit="1" customWidth="1"/>
    <col min="90" max="90" width="5" bestFit="1" customWidth="1"/>
    <col min="91" max="91" width="6" bestFit="1" customWidth="1"/>
    <col min="92" max="92" width="3" bestFit="1" customWidth="1"/>
    <col min="93" max="93" width="5" bestFit="1" customWidth="1"/>
    <col min="94" max="94" width="3" bestFit="1" customWidth="1"/>
    <col min="95" max="95" width="6" bestFit="1" customWidth="1"/>
    <col min="96" max="96" width="5" bestFit="1" customWidth="1"/>
    <col min="97" max="97" width="6" bestFit="1" customWidth="1"/>
    <col min="98" max="98" width="3" bestFit="1" customWidth="1"/>
    <col min="99" max="99" width="6" bestFit="1" customWidth="1"/>
    <col min="100" max="100" width="3" bestFit="1" customWidth="1"/>
    <col min="101" max="101" width="5" bestFit="1" customWidth="1"/>
    <col min="102" max="103" width="6" bestFit="1" customWidth="1"/>
    <col min="104" max="104" width="4" bestFit="1" customWidth="1"/>
    <col min="105" max="108" width="7" bestFit="1" customWidth="1"/>
    <col min="109" max="109" width="6" bestFit="1" customWidth="1"/>
    <col min="110" max="110" width="4" bestFit="1" customWidth="1"/>
    <col min="111" max="111" width="7" bestFit="1" customWidth="1"/>
    <col min="112" max="112" width="6" bestFit="1" customWidth="1"/>
    <col min="113" max="113" width="7" bestFit="1" customWidth="1"/>
    <col min="114" max="114" width="4" bestFit="1" customWidth="1"/>
    <col min="115" max="115" width="7" bestFit="1" customWidth="1"/>
    <col min="116" max="116" width="4" bestFit="1" customWidth="1"/>
    <col min="117" max="117" width="6" bestFit="1" customWidth="1"/>
    <col min="118" max="118" width="7" bestFit="1" customWidth="1"/>
    <col min="119" max="119" width="4" bestFit="1" customWidth="1"/>
    <col min="120" max="121" width="6" bestFit="1" customWidth="1"/>
    <col min="122" max="122" width="7" bestFit="1" customWidth="1"/>
    <col min="123" max="123" width="4" bestFit="1" customWidth="1"/>
    <col min="124" max="126" width="7" bestFit="1" customWidth="1"/>
    <col min="127" max="127" width="4" bestFit="1" customWidth="1"/>
    <col min="128" max="128" width="7" bestFit="1" customWidth="1"/>
    <col min="129" max="129" width="4" bestFit="1" customWidth="1"/>
    <col min="130" max="130" width="7" bestFit="1" customWidth="1"/>
    <col min="131" max="132" width="6" bestFit="1" customWidth="1"/>
    <col min="133" max="134" width="7" bestFit="1" customWidth="1"/>
    <col min="135" max="136" width="6" bestFit="1" customWidth="1"/>
    <col min="137" max="138" width="4" bestFit="1" customWidth="1"/>
    <col min="139" max="139" width="7" bestFit="1" customWidth="1"/>
    <col min="140" max="140" width="4" bestFit="1" customWidth="1"/>
    <col min="141" max="142" width="6" bestFit="1" customWidth="1"/>
    <col min="143" max="143" width="4" bestFit="1" customWidth="1"/>
    <col min="144" max="145" width="7" bestFit="1" customWidth="1"/>
    <col min="146" max="146" width="4" bestFit="1" customWidth="1"/>
    <col min="147" max="148" width="7" bestFit="1" customWidth="1"/>
    <col min="149" max="149" width="6" bestFit="1" customWidth="1"/>
    <col min="150" max="152" width="7" bestFit="1" customWidth="1"/>
    <col min="153" max="154" width="6" bestFit="1" customWidth="1"/>
    <col min="155" max="155" width="7" bestFit="1" customWidth="1"/>
    <col min="156" max="156" width="4" bestFit="1" customWidth="1"/>
    <col min="157" max="157" width="7" bestFit="1" customWidth="1"/>
    <col min="158" max="158" width="4" bestFit="1" customWidth="1"/>
    <col min="159" max="159" width="7" bestFit="1" customWidth="1"/>
    <col min="160" max="160" width="6" bestFit="1" customWidth="1"/>
    <col min="161" max="161" width="4" bestFit="1" customWidth="1"/>
    <col min="162" max="164" width="6" bestFit="1" customWidth="1"/>
    <col min="165" max="172" width="7" bestFit="1" customWidth="1"/>
    <col min="173" max="174" width="4" bestFit="1" customWidth="1"/>
    <col min="175" max="175" width="7" bestFit="1" customWidth="1"/>
    <col min="176" max="176" width="4" bestFit="1" customWidth="1"/>
    <col min="177" max="177" width="7" bestFit="1" customWidth="1"/>
    <col min="178" max="178" width="6" bestFit="1" customWidth="1"/>
    <col min="179" max="180" width="7" bestFit="1" customWidth="1"/>
    <col min="181" max="181" width="6" bestFit="1" customWidth="1"/>
    <col min="182" max="182" width="4" bestFit="1" customWidth="1"/>
    <col min="183" max="183" width="6" bestFit="1" customWidth="1"/>
    <col min="184" max="184" width="4" bestFit="1" customWidth="1"/>
    <col min="185" max="185" width="7" bestFit="1" customWidth="1"/>
    <col min="186" max="188" width="6" bestFit="1" customWidth="1"/>
    <col min="189" max="189" width="7" bestFit="1" customWidth="1"/>
    <col min="190" max="191" width="4" bestFit="1" customWidth="1"/>
    <col min="192" max="192" width="6" bestFit="1" customWidth="1"/>
    <col min="193" max="193" width="7" bestFit="1" customWidth="1"/>
    <col min="194" max="197" width="6" bestFit="1" customWidth="1"/>
    <col min="198" max="198" width="7" bestFit="1" customWidth="1"/>
    <col min="199" max="200" width="6" bestFit="1" customWidth="1"/>
    <col min="201" max="201" width="4" bestFit="1" customWidth="1"/>
    <col min="202" max="203" width="7" bestFit="1" customWidth="1"/>
    <col min="204" max="204" width="4" bestFit="1" customWidth="1"/>
    <col min="205" max="206" width="6" bestFit="1" customWidth="1"/>
    <col min="207" max="207" width="7" bestFit="1" customWidth="1"/>
    <col min="208" max="208" width="4" bestFit="1" customWidth="1"/>
    <col min="209" max="210" width="6" bestFit="1" customWidth="1"/>
    <col min="211" max="213" width="4" bestFit="1" customWidth="1"/>
    <col min="214" max="214" width="6" bestFit="1" customWidth="1"/>
    <col min="215" max="215" width="7" bestFit="1" customWidth="1"/>
    <col min="216" max="216" width="6" bestFit="1" customWidth="1"/>
    <col min="217" max="217" width="7" bestFit="1" customWidth="1"/>
    <col min="218" max="218" width="6" bestFit="1" customWidth="1"/>
    <col min="219" max="219" width="7" bestFit="1" customWidth="1"/>
    <col min="220" max="220" width="6" bestFit="1" customWidth="1"/>
    <col min="221" max="221" width="7" bestFit="1" customWidth="1"/>
    <col min="222" max="222" width="4" bestFit="1" customWidth="1"/>
    <col min="223" max="224" width="7" bestFit="1" customWidth="1"/>
    <col min="225" max="225" width="6" bestFit="1" customWidth="1"/>
    <col min="226" max="227" width="4" bestFit="1" customWidth="1"/>
    <col min="228" max="229" width="6" bestFit="1" customWidth="1"/>
    <col min="230" max="231" width="4" bestFit="1" customWidth="1"/>
    <col min="232" max="232" width="7" bestFit="1" customWidth="1"/>
    <col min="233" max="233" width="6" bestFit="1" customWidth="1"/>
    <col min="234" max="234" width="7" bestFit="1" customWidth="1"/>
    <col min="235" max="235" width="6" bestFit="1" customWidth="1"/>
    <col min="236" max="236" width="7" bestFit="1" customWidth="1"/>
    <col min="237" max="238" width="6" bestFit="1" customWidth="1"/>
    <col min="239" max="239" width="7" bestFit="1" customWidth="1"/>
    <col min="240" max="240" width="4" bestFit="1" customWidth="1"/>
    <col min="241" max="243" width="7" bestFit="1" customWidth="1"/>
    <col min="244" max="244" width="6" bestFit="1" customWidth="1"/>
    <col min="245" max="246" width="7" bestFit="1" customWidth="1"/>
    <col min="247" max="247" width="4" bestFit="1" customWidth="1"/>
    <col min="248" max="249" width="7" bestFit="1" customWidth="1"/>
    <col min="250" max="252" width="6" bestFit="1" customWidth="1"/>
    <col min="253" max="255" width="7" bestFit="1" customWidth="1"/>
    <col min="256" max="256" width="4" bestFit="1" customWidth="1"/>
    <col min="257" max="257" width="7" bestFit="1" customWidth="1"/>
    <col min="258" max="260" width="6" bestFit="1" customWidth="1"/>
    <col min="261" max="263" width="7" bestFit="1" customWidth="1"/>
    <col min="264" max="266" width="6" bestFit="1" customWidth="1"/>
    <col min="267" max="267" width="4" bestFit="1" customWidth="1"/>
    <col min="268" max="268" width="7" bestFit="1" customWidth="1"/>
    <col min="269" max="269" width="4" bestFit="1" customWidth="1"/>
    <col min="270" max="271" width="6" bestFit="1" customWidth="1"/>
    <col min="272" max="275" width="7" bestFit="1" customWidth="1"/>
    <col min="276" max="277" width="6" bestFit="1" customWidth="1"/>
    <col min="278" max="279" width="4" bestFit="1" customWidth="1"/>
    <col min="280" max="280" width="7" bestFit="1" customWidth="1"/>
    <col min="281" max="281" width="4" bestFit="1" customWidth="1"/>
    <col min="282" max="282" width="6" bestFit="1" customWidth="1"/>
    <col min="283" max="283" width="7" bestFit="1" customWidth="1"/>
    <col min="284" max="284" width="4" bestFit="1" customWidth="1"/>
    <col min="285" max="285" width="7" bestFit="1" customWidth="1"/>
    <col min="286" max="286" width="6" bestFit="1" customWidth="1"/>
    <col min="287" max="288" width="7" bestFit="1" customWidth="1"/>
    <col min="289" max="290" width="6" bestFit="1" customWidth="1"/>
    <col min="291" max="291" width="7" bestFit="1" customWidth="1"/>
    <col min="292" max="293" width="6" bestFit="1" customWidth="1"/>
    <col min="294" max="295" width="7" bestFit="1" customWidth="1"/>
    <col min="296" max="296" width="6" bestFit="1" customWidth="1"/>
    <col min="297" max="297" width="7" bestFit="1" customWidth="1"/>
    <col min="298" max="299" width="6" bestFit="1" customWidth="1"/>
    <col min="300" max="300" width="4" bestFit="1" customWidth="1"/>
    <col min="301" max="301" width="7" bestFit="1" customWidth="1"/>
    <col min="302" max="302" width="4" bestFit="1" customWidth="1"/>
    <col min="303" max="304" width="6" bestFit="1" customWidth="1"/>
    <col min="305" max="306" width="7" bestFit="1" customWidth="1"/>
    <col min="307" max="307" width="4" bestFit="1" customWidth="1"/>
    <col min="308" max="308" width="6" bestFit="1" customWidth="1"/>
    <col min="309" max="317" width="7" bestFit="1" customWidth="1"/>
    <col min="318" max="319" width="6" bestFit="1" customWidth="1"/>
    <col min="320" max="320" width="7" bestFit="1" customWidth="1"/>
    <col min="321" max="321" width="6" bestFit="1" customWidth="1"/>
    <col min="322" max="322" width="7" bestFit="1" customWidth="1"/>
    <col min="323" max="323" width="4" bestFit="1" customWidth="1"/>
    <col min="324" max="325" width="7" bestFit="1" customWidth="1"/>
    <col min="326" max="328" width="6" bestFit="1" customWidth="1"/>
    <col min="329" max="330" width="7" bestFit="1" customWidth="1"/>
    <col min="331" max="332" width="6" bestFit="1" customWidth="1"/>
    <col min="333" max="334" width="7" bestFit="1" customWidth="1"/>
    <col min="335" max="335" width="4" bestFit="1" customWidth="1"/>
    <col min="336" max="336" width="7" bestFit="1" customWidth="1"/>
    <col min="337" max="337" width="4" bestFit="1" customWidth="1"/>
    <col min="338" max="338" width="7" bestFit="1" customWidth="1"/>
    <col min="339" max="341" width="6" bestFit="1" customWidth="1"/>
    <col min="342" max="342" width="7" bestFit="1" customWidth="1"/>
    <col min="343" max="345" width="6" bestFit="1" customWidth="1"/>
    <col min="346" max="346" width="7" bestFit="1" customWidth="1"/>
    <col min="347" max="347" width="6" bestFit="1" customWidth="1"/>
    <col min="348" max="348" width="4" bestFit="1" customWidth="1"/>
    <col min="349" max="349" width="6" bestFit="1" customWidth="1"/>
    <col min="350" max="350" width="4" bestFit="1" customWidth="1"/>
    <col min="351" max="352" width="7" bestFit="1" customWidth="1"/>
    <col min="353" max="354" width="6" bestFit="1" customWidth="1"/>
    <col min="355" max="356" width="7" bestFit="1" customWidth="1"/>
    <col min="357" max="358" width="6" bestFit="1" customWidth="1"/>
    <col min="359" max="362" width="7" bestFit="1" customWidth="1"/>
    <col min="363" max="363" width="6" bestFit="1" customWidth="1"/>
    <col min="364" max="366" width="7" bestFit="1" customWidth="1"/>
    <col min="367" max="367" width="4" bestFit="1" customWidth="1"/>
    <col min="368" max="368" width="7" bestFit="1" customWidth="1"/>
    <col min="369" max="370" width="6" bestFit="1" customWidth="1"/>
    <col min="371" max="371" width="7" bestFit="1" customWidth="1"/>
    <col min="372" max="372" width="6" bestFit="1" customWidth="1"/>
    <col min="373" max="373" width="7" bestFit="1" customWidth="1"/>
    <col min="374" max="374" width="4" bestFit="1" customWidth="1"/>
    <col min="375" max="380" width="7" bestFit="1" customWidth="1"/>
    <col min="381" max="381" width="6" bestFit="1" customWidth="1"/>
    <col min="382" max="383" width="7" bestFit="1" customWidth="1"/>
    <col min="384" max="385" width="6" bestFit="1" customWidth="1"/>
    <col min="386" max="386" width="7" bestFit="1" customWidth="1"/>
    <col min="387" max="387" width="4" bestFit="1" customWidth="1"/>
    <col min="388" max="388" width="6" bestFit="1" customWidth="1"/>
    <col min="389" max="389" width="4" bestFit="1" customWidth="1"/>
    <col min="390" max="390" width="7" bestFit="1" customWidth="1"/>
    <col min="391" max="392" width="6" bestFit="1" customWidth="1"/>
    <col min="393" max="393" width="4" bestFit="1" customWidth="1"/>
    <col min="394" max="396" width="7" bestFit="1" customWidth="1"/>
    <col min="397" max="397" width="6" bestFit="1" customWidth="1"/>
    <col min="398" max="398" width="7" bestFit="1" customWidth="1"/>
    <col min="399" max="399" width="6" bestFit="1" customWidth="1"/>
    <col min="400" max="402" width="7" bestFit="1" customWidth="1"/>
    <col min="403" max="403" width="6" bestFit="1" customWidth="1"/>
    <col min="404" max="404" width="4" bestFit="1" customWidth="1"/>
    <col min="405" max="411" width="7" bestFit="1" customWidth="1"/>
    <col min="412" max="414" width="6" bestFit="1" customWidth="1"/>
    <col min="415" max="416" width="7" bestFit="1" customWidth="1"/>
    <col min="417" max="417" width="4" bestFit="1" customWidth="1"/>
    <col min="418" max="420" width="6" bestFit="1" customWidth="1"/>
    <col min="421" max="424" width="7" bestFit="1" customWidth="1"/>
    <col min="425" max="427" width="6" bestFit="1" customWidth="1"/>
    <col min="428" max="428" width="7" bestFit="1" customWidth="1"/>
    <col min="429" max="429" width="4" bestFit="1" customWidth="1"/>
    <col min="430" max="432" width="7" bestFit="1" customWidth="1"/>
    <col min="433" max="433" width="6" bestFit="1" customWidth="1"/>
    <col min="434" max="434" width="7" bestFit="1" customWidth="1"/>
    <col min="435" max="435" width="6" bestFit="1" customWidth="1"/>
    <col min="436" max="445" width="7" bestFit="1" customWidth="1"/>
    <col min="446" max="446" width="4" bestFit="1" customWidth="1"/>
    <col min="447" max="448" width="7" bestFit="1" customWidth="1"/>
    <col min="449" max="449" width="4" bestFit="1" customWidth="1"/>
    <col min="450" max="451" width="7" bestFit="1" customWidth="1"/>
    <col min="452" max="453" width="6" bestFit="1" customWidth="1"/>
    <col min="454" max="455" width="7" bestFit="1" customWidth="1"/>
    <col min="456" max="456" width="6" bestFit="1" customWidth="1"/>
    <col min="457" max="457" width="7" bestFit="1" customWidth="1"/>
    <col min="458" max="458" width="6" bestFit="1" customWidth="1"/>
    <col min="459" max="459" width="7" bestFit="1" customWidth="1"/>
    <col min="460" max="461" width="6" bestFit="1" customWidth="1"/>
    <col min="462" max="464" width="7" bestFit="1" customWidth="1"/>
    <col min="465" max="465" width="6" bestFit="1" customWidth="1"/>
    <col min="466" max="472" width="7" bestFit="1" customWidth="1"/>
    <col min="473" max="474" width="6" bestFit="1" customWidth="1"/>
    <col min="475" max="477" width="7" bestFit="1" customWidth="1"/>
    <col min="478" max="478" width="4" bestFit="1" customWidth="1"/>
    <col min="479" max="481" width="7" bestFit="1" customWidth="1"/>
    <col min="482" max="482" width="6" bestFit="1" customWidth="1"/>
    <col min="483" max="483" width="7" bestFit="1" customWidth="1"/>
    <col min="484" max="484" width="6" bestFit="1" customWidth="1"/>
    <col min="485" max="486" width="7" bestFit="1" customWidth="1"/>
    <col min="487" max="488" width="4" bestFit="1" customWidth="1"/>
    <col min="489" max="490" width="6" bestFit="1" customWidth="1"/>
    <col min="491" max="491" width="7" bestFit="1" customWidth="1"/>
    <col min="492" max="492" width="4" bestFit="1" customWidth="1"/>
    <col min="493" max="493" width="7" bestFit="1" customWidth="1"/>
    <col min="494" max="495" width="6" bestFit="1" customWidth="1"/>
    <col min="496" max="497" width="7" bestFit="1" customWidth="1"/>
    <col min="498" max="498" width="4" bestFit="1" customWidth="1"/>
    <col min="499" max="499" width="7" bestFit="1" customWidth="1"/>
    <col min="500" max="500" width="4" bestFit="1" customWidth="1"/>
    <col min="501" max="502" width="7" bestFit="1" customWidth="1"/>
    <col min="503" max="503" width="6" bestFit="1" customWidth="1"/>
    <col min="504" max="507" width="7" bestFit="1" customWidth="1"/>
    <col min="508" max="509" width="6" bestFit="1" customWidth="1"/>
    <col min="510" max="510" width="7" bestFit="1" customWidth="1"/>
    <col min="511" max="511" width="6" bestFit="1" customWidth="1"/>
    <col min="512" max="514" width="7" bestFit="1" customWidth="1"/>
    <col min="515" max="515" width="6" bestFit="1" customWidth="1"/>
    <col min="516" max="519" width="7" bestFit="1" customWidth="1"/>
    <col min="520" max="520" width="6" bestFit="1" customWidth="1"/>
    <col min="521" max="521" width="7" bestFit="1" customWidth="1"/>
    <col min="522" max="522" width="6" bestFit="1" customWidth="1"/>
    <col min="523" max="528" width="7" bestFit="1" customWidth="1"/>
    <col min="529" max="529" width="6" bestFit="1" customWidth="1"/>
    <col min="530" max="534" width="7" bestFit="1" customWidth="1"/>
    <col min="535" max="535" width="6" bestFit="1" customWidth="1"/>
    <col min="536" max="537" width="7" bestFit="1" customWidth="1"/>
    <col min="538" max="538" width="6" bestFit="1" customWidth="1"/>
    <col min="539" max="540" width="7" bestFit="1" customWidth="1"/>
    <col min="541" max="541" width="4" bestFit="1" customWidth="1"/>
    <col min="542" max="547" width="7" bestFit="1" customWidth="1"/>
    <col min="548" max="549" width="8" bestFit="1" customWidth="1"/>
    <col min="550" max="550" width="7" bestFit="1" customWidth="1"/>
    <col min="551" max="557" width="8" bestFit="1" customWidth="1"/>
    <col min="558" max="558" width="7" bestFit="1" customWidth="1"/>
    <col min="559" max="560" width="8" bestFit="1" customWidth="1"/>
    <col min="561" max="561" width="7" bestFit="1" customWidth="1"/>
    <col min="562" max="562" width="5" bestFit="1" customWidth="1"/>
    <col min="563" max="571" width="8" bestFit="1" customWidth="1"/>
    <col min="572" max="572" width="7" bestFit="1" customWidth="1"/>
    <col min="573" max="579" width="8" bestFit="1" customWidth="1"/>
    <col min="580" max="580" width="5" bestFit="1" customWidth="1"/>
    <col min="581" max="584" width="8" bestFit="1" customWidth="1"/>
    <col min="585" max="586" width="7" bestFit="1" customWidth="1"/>
    <col min="587" max="587" width="8" bestFit="1" customWidth="1"/>
    <col min="588" max="589" width="7" bestFit="1" customWidth="1"/>
    <col min="590" max="595" width="8" bestFit="1" customWidth="1"/>
    <col min="596" max="596" width="7" bestFit="1" customWidth="1"/>
    <col min="597" max="597" width="8" bestFit="1" customWidth="1"/>
    <col min="598" max="598" width="7" bestFit="1" customWidth="1"/>
    <col min="599" max="599" width="8" bestFit="1" customWidth="1"/>
    <col min="600" max="600" width="5" bestFit="1" customWidth="1"/>
    <col min="601" max="601" width="8" bestFit="1" customWidth="1"/>
    <col min="602" max="602" width="5" bestFit="1" customWidth="1"/>
    <col min="603" max="603" width="8" bestFit="1" customWidth="1"/>
    <col min="604" max="604" width="7" bestFit="1" customWidth="1"/>
    <col min="605" max="609" width="8" bestFit="1" customWidth="1"/>
    <col min="610" max="610" width="7" bestFit="1" customWidth="1"/>
    <col min="611" max="615" width="8" bestFit="1" customWidth="1"/>
    <col min="616" max="616" width="5" bestFit="1" customWidth="1"/>
    <col min="617" max="618" width="8" bestFit="1" customWidth="1"/>
    <col min="619" max="620" width="7" bestFit="1" customWidth="1"/>
    <col min="621" max="622" width="8" bestFit="1" customWidth="1"/>
    <col min="623" max="623" width="7" bestFit="1" customWidth="1"/>
    <col min="624" max="625" width="8" bestFit="1" customWidth="1"/>
    <col min="626" max="626" width="5" bestFit="1" customWidth="1"/>
    <col min="627" max="627" width="8" bestFit="1" customWidth="1"/>
    <col min="628" max="628" width="7" bestFit="1" customWidth="1"/>
    <col min="629" max="630" width="8" bestFit="1" customWidth="1"/>
    <col min="631" max="631" width="7" bestFit="1" customWidth="1"/>
    <col min="632" max="633" width="8" bestFit="1" customWidth="1"/>
    <col min="634" max="634" width="7" bestFit="1" customWidth="1"/>
    <col min="635" max="636" width="8" bestFit="1" customWidth="1"/>
    <col min="637" max="638" width="7" bestFit="1" customWidth="1"/>
    <col min="639" max="640" width="8" bestFit="1" customWidth="1"/>
    <col min="641" max="641" width="7" bestFit="1" customWidth="1"/>
    <col min="642" max="645" width="8" bestFit="1" customWidth="1"/>
    <col min="646" max="646" width="5" bestFit="1" customWidth="1"/>
    <col min="647" max="648" width="8" bestFit="1" customWidth="1"/>
    <col min="649" max="649" width="7" bestFit="1" customWidth="1"/>
    <col min="650" max="650" width="5" bestFit="1" customWidth="1"/>
    <col min="651" max="651" width="7" bestFit="1" customWidth="1"/>
    <col min="652" max="661" width="8" bestFit="1" customWidth="1"/>
    <col min="662" max="663" width="7" bestFit="1" customWidth="1"/>
    <col min="664" max="667" width="8" bestFit="1" customWidth="1"/>
    <col min="668" max="669" width="7" bestFit="1" customWidth="1"/>
    <col min="670" max="670" width="8" bestFit="1" customWidth="1"/>
    <col min="671" max="671" width="7" bestFit="1" customWidth="1"/>
    <col min="672" max="674" width="8" bestFit="1" customWidth="1"/>
    <col min="675" max="675" width="7" bestFit="1" customWidth="1"/>
    <col min="676" max="685" width="8" bestFit="1" customWidth="1"/>
    <col min="686" max="687" width="7" bestFit="1" customWidth="1"/>
    <col min="688" max="693" width="8" bestFit="1" customWidth="1"/>
    <col min="694" max="695" width="7" bestFit="1" customWidth="1"/>
    <col min="696" max="696" width="8" bestFit="1" customWidth="1"/>
    <col min="697" max="697" width="7" bestFit="1" customWidth="1"/>
    <col min="698" max="699" width="8" bestFit="1" customWidth="1"/>
    <col min="700" max="700" width="5" bestFit="1" customWidth="1"/>
    <col min="701" max="706" width="8" bestFit="1" customWidth="1"/>
    <col min="707" max="707" width="7" bestFit="1" customWidth="1"/>
    <col min="708" max="717" width="8" bestFit="1" customWidth="1"/>
    <col min="718" max="718" width="7" bestFit="1" customWidth="1"/>
    <col min="719" max="719" width="8" bestFit="1" customWidth="1"/>
    <col min="720" max="720" width="7" bestFit="1" customWidth="1"/>
    <col min="721" max="722" width="8" bestFit="1" customWidth="1"/>
    <col min="723" max="723" width="7" bestFit="1" customWidth="1"/>
    <col min="724" max="729" width="8" bestFit="1" customWidth="1"/>
    <col min="730" max="731" width="5" bestFit="1" customWidth="1"/>
    <col min="732" max="743" width="8" bestFit="1" customWidth="1"/>
    <col min="744" max="744" width="7" bestFit="1" customWidth="1"/>
    <col min="745" max="752" width="8" bestFit="1" customWidth="1"/>
    <col min="753" max="753" width="7" bestFit="1" customWidth="1"/>
    <col min="754" max="759" width="8" bestFit="1" customWidth="1"/>
    <col min="760" max="760" width="7" bestFit="1" customWidth="1"/>
    <col min="761" max="761" width="8" bestFit="1" customWidth="1"/>
    <col min="762" max="763" width="7" bestFit="1" customWidth="1"/>
    <col min="764" max="764" width="8" bestFit="1" customWidth="1"/>
    <col min="765" max="765" width="5" bestFit="1" customWidth="1"/>
    <col min="766" max="768" width="8" bestFit="1" customWidth="1"/>
    <col min="769" max="769" width="5" bestFit="1" customWidth="1"/>
    <col min="770" max="771" width="8" bestFit="1" customWidth="1"/>
    <col min="772" max="772" width="5" bestFit="1" customWidth="1"/>
    <col min="773" max="783" width="8" bestFit="1" customWidth="1"/>
    <col min="784" max="784" width="7" bestFit="1" customWidth="1"/>
    <col min="785" max="787" width="8" bestFit="1" customWidth="1"/>
    <col min="788" max="788" width="7" bestFit="1" customWidth="1"/>
    <col min="789" max="790" width="8" bestFit="1" customWidth="1"/>
    <col min="791" max="791" width="7" bestFit="1" customWidth="1"/>
    <col min="792" max="792" width="5" bestFit="1" customWidth="1"/>
    <col min="793" max="794" width="8" bestFit="1" customWidth="1"/>
    <col min="795" max="796" width="7" bestFit="1" customWidth="1"/>
    <col min="797" max="802" width="8" bestFit="1" customWidth="1"/>
    <col min="803" max="803" width="7" bestFit="1" customWidth="1"/>
    <col min="804" max="809" width="8" bestFit="1" customWidth="1"/>
    <col min="810" max="810" width="7" bestFit="1" customWidth="1"/>
    <col min="811" max="818" width="8" bestFit="1" customWidth="1"/>
    <col min="819" max="819" width="7" bestFit="1" customWidth="1"/>
    <col min="820" max="829" width="8" bestFit="1" customWidth="1"/>
    <col min="830" max="830" width="5" bestFit="1" customWidth="1"/>
    <col min="831" max="831" width="7" bestFit="1" customWidth="1"/>
    <col min="832" max="832" width="8" bestFit="1" customWidth="1"/>
    <col min="833" max="833" width="7" bestFit="1" customWidth="1"/>
    <col min="834" max="835" width="8" bestFit="1" customWidth="1"/>
    <col min="836" max="836" width="7" bestFit="1" customWidth="1"/>
    <col min="837" max="842" width="8" bestFit="1" customWidth="1"/>
    <col min="843" max="843" width="7" bestFit="1" customWidth="1"/>
    <col min="844" max="858" width="8" bestFit="1" customWidth="1"/>
    <col min="859" max="859" width="5" bestFit="1" customWidth="1"/>
    <col min="860" max="865" width="8" bestFit="1" customWidth="1"/>
    <col min="866" max="866" width="7" bestFit="1" customWidth="1"/>
    <col min="867" max="872" width="8" bestFit="1" customWidth="1"/>
    <col min="873" max="873" width="7" bestFit="1" customWidth="1"/>
    <col min="874" max="881" width="8" bestFit="1" customWidth="1"/>
    <col min="882" max="882" width="7" bestFit="1" customWidth="1"/>
    <col min="883" max="883" width="8" bestFit="1" customWidth="1"/>
    <col min="884" max="884" width="7" bestFit="1" customWidth="1"/>
    <col min="885" max="892" width="8" bestFit="1" customWidth="1"/>
    <col min="893" max="893" width="7" bestFit="1" customWidth="1"/>
    <col min="894" max="895" width="8" bestFit="1" customWidth="1"/>
    <col min="896" max="897" width="7" bestFit="1" customWidth="1"/>
    <col min="898" max="904" width="8" bestFit="1" customWidth="1"/>
    <col min="905" max="905" width="7" bestFit="1" customWidth="1"/>
    <col min="906" max="930" width="8" bestFit="1" customWidth="1"/>
    <col min="931" max="931" width="7" bestFit="1" customWidth="1"/>
    <col min="932" max="937" width="8" bestFit="1" customWidth="1"/>
    <col min="938" max="938" width="7" bestFit="1" customWidth="1"/>
    <col min="939" max="942" width="8" bestFit="1" customWidth="1"/>
    <col min="943" max="943" width="7" bestFit="1" customWidth="1"/>
    <col min="944" max="949" width="8" bestFit="1" customWidth="1"/>
    <col min="950" max="950" width="7" bestFit="1" customWidth="1"/>
    <col min="951" max="972" width="8" bestFit="1" customWidth="1"/>
    <col min="973" max="973" width="7" bestFit="1" customWidth="1"/>
    <col min="974" max="982" width="8" bestFit="1" customWidth="1"/>
    <col min="983" max="983" width="7" bestFit="1" customWidth="1"/>
    <col min="984" max="988" width="8" bestFit="1" customWidth="1"/>
    <col min="989" max="989" width="7" bestFit="1" customWidth="1"/>
    <col min="990" max="1009" width="8" bestFit="1" customWidth="1"/>
    <col min="1010" max="1010" width="5" bestFit="1" customWidth="1"/>
    <col min="1011" max="1019" width="8" bestFit="1" customWidth="1"/>
    <col min="1020" max="1020" width="5" bestFit="1" customWidth="1"/>
    <col min="1021" max="1029" width="8" bestFit="1" customWidth="1"/>
    <col min="1030" max="1030" width="7" bestFit="1" customWidth="1"/>
    <col min="1031" max="1036" width="8" bestFit="1" customWidth="1"/>
    <col min="1037" max="1037" width="5" bestFit="1" customWidth="1"/>
    <col min="1038" max="1043" width="8" bestFit="1" customWidth="1"/>
    <col min="1044" max="1044" width="7" bestFit="1" customWidth="1"/>
    <col min="1045" max="1050" width="8" bestFit="1" customWidth="1"/>
    <col min="1051" max="1051" width="5" bestFit="1" customWidth="1"/>
    <col min="1052" max="1060" width="8" bestFit="1" customWidth="1"/>
    <col min="1061" max="1061" width="7" bestFit="1" customWidth="1"/>
    <col min="1062" max="1062" width="8" bestFit="1" customWidth="1"/>
    <col min="1063" max="1063" width="5" bestFit="1" customWidth="1"/>
    <col min="1064" max="1073" width="8" bestFit="1" customWidth="1"/>
    <col min="1074" max="1074" width="7" bestFit="1" customWidth="1"/>
    <col min="1075" max="1085" width="8" bestFit="1" customWidth="1"/>
    <col min="1086" max="1088" width="9" bestFit="1" customWidth="1"/>
    <col min="1089" max="1089" width="8" bestFit="1" customWidth="1"/>
    <col min="1090" max="1114" width="9" bestFit="1" customWidth="1"/>
    <col min="1115" max="1115" width="8" bestFit="1" customWidth="1"/>
    <col min="1116" max="1119" width="9" bestFit="1" customWidth="1"/>
    <col min="1120" max="1120" width="8" bestFit="1" customWidth="1"/>
    <col min="1121" max="1140" width="9" bestFit="1" customWidth="1"/>
    <col min="1141" max="1141" width="8" bestFit="1" customWidth="1"/>
    <col min="1142" max="1146" width="9" bestFit="1" customWidth="1"/>
    <col min="1147" max="1147" width="8" bestFit="1" customWidth="1"/>
    <col min="1148" max="1154" width="9" bestFit="1" customWidth="1"/>
    <col min="1155" max="1155" width="8" bestFit="1" customWidth="1"/>
    <col min="1156" max="1156" width="9" bestFit="1" customWidth="1"/>
    <col min="1157" max="1157" width="8" bestFit="1" customWidth="1"/>
    <col min="1158" max="1169" width="9" bestFit="1" customWidth="1"/>
    <col min="1170" max="1170" width="8" bestFit="1" customWidth="1"/>
    <col min="1171" max="1175" width="9" bestFit="1" customWidth="1"/>
    <col min="1176" max="1176" width="8" bestFit="1" customWidth="1"/>
    <col min="1177" max="1182" width="9" bestFit="1" customWidth="1"/>
    <col min="1183" max="1183" width="6" bestFit="1" customWidth="1"/>
    <col min="1184" max="1217" width="9" bestFit="1" customWidth="1"/>
    <col min="1218" max="1219" width="8" bestFit="1" customWidth="1"/>
    <col min="1220" max="1222" width="9" bestFit="1" customWidth="1"/>
    <col min="1223" max="1223" width="6" bestFit="1" customWidth="1"/>
    <col min="1224" max="1225" width="8" bestFit="1" customWidth="1"/>
    <col min="1226" max="1241" width="9" bestFit="1" customWidth="1"/>
    <col min="1242" max="1242" width="8" bestFit="1" customWidth="1"/>
    <col min="1243" max="1251" width="9" bestFit="1" customWidth="1"/>
    <col min="1252" max="1252" width="8" bestFit="1" customWidth="1"/>
    <col min="1253" max="1271" width="9" bestFit="1" customWidth="1"/>
    <col min="1272" max="1273" width="8" bestFit="1" customWidth="1"/>
    <col min="1274" max="1279" width="9" bestFit="1" customWidth="1"/>
    <col min="1280" max="1280" width="8" bestFit="1" customWidth="1"/>
    <col min="1281" max="1286" width="9" bestFit="1" customWidth="1"/>
    <col min="1287" max="1287" width="8" bestFit="1" customWidth="1"/>
    <col min="1288" max="1294" width="9" bestFit="1" customWidth="1"/>
    <col min="1295" max="1298" width="10" bestFit="1" customWidth="1"/>
    <col min="1299" max="1299" width="9" bestFit="1" customWidth="1"/>
    <col min="1300" max="1309" width="10" bestFit="1" customWidth="1"/>
    <col min="1310" max="1311" width="9" bestFit="1" customWidth="1"/>
    <col min="1312" max="1313" width="10" bestFit="1" customWidth="1"/>
    <col min="1314" max="1314" width="9" bestFit="1" customWidth="1"/>
    <col min="1315" max="1315" width="10" bestFit="1" customWidth="1"/>
    <col min="1316" max="1316" width="7" bestFit="1" customWidth="1"/>
    <col min="1317" max="1318" width="10" bestFit="1" customWidth="1"/>
    <col min="1319" max="1319" width="9" bestFit="1" customWidth="1"/>
    <col min="1320" max="1320" width="10.5546875" bestFit="1" customWidth="1"/>
    <col min="1321" max="1322" width="21.88671875" bestFit="1" customWidth="1"/>
    <col min="1323" max="1323" width="24.77734375" bestFit="1" customWidth="1"/>
    <col min="1324" max="1350" width="10.88671875" bestFit="1" customWidth="1"/>
    <col min="1351" max="1351" width="13.77734375" bestFit="1" customWidth="1"/>
    <col min="1352" max="1377" width="10" bestFit="1" customWidth="1"/>
    <col min="1379" max="1404" width="14.44140625" bestFit="1" customWidth="1"/>
    <col min="1405" max="1405" width="17.44140625" bestFit="1" customWidth="1"/>
    <col min="1406" max="1432" width="13.88671875" bestFit="1" customWidth="1"/>
    <col min="1433" max="1433" width="16.77734375" bestFit="1" customWidth="1"/>
    <col min="1434" max="1434" width="10.5546875" bestFit="1" customWidth="1"/>
  </cols>
  <sheetData>
    <row r="1" spans="1:2" x14ac:dyDescent="0.3">
      <c r="A1" s="1" t="s">
        <v>76</v>
      </c>
      <c r="B1" t="s">
        <v>96</v>
      </c>
    </row>
    <row r="3" spans="1:2" x14ac:dyDescent="0.3">
      <c r="A3" s="1" t="s">
        <v>108</v>
      </c>
      <c r="B3" t="s">
        <v>107</v>
      </c>
    </row>
    <row r="4" spans="1:2" x14ac:dyDescent="0.3">
      <c r="A4" s="2" t="s">
        <v>4</v>
      </c>
      <c r="B4" s="3">
        <v>12780.26</v>
      </c>
    </row>
    <row r="5" spans="1:2" x14ac:dyDescent="0.3">
      <c r="A5" s="2" t="s">
        <v>5</v>
      </c>
      <c r="B5" s="3">
        <v>11683.27</v>
      </c>
    </row>
    <row r="6" spans="1:2" x14ac:dyDescent="0.3">
      <c r="A6" s="2" t="s">
        <v>8</v>
      </c>
      <c r="B6" s="3">
        <v>7714.36</v>
      </c>
    </row>
    <row r="7" spans="1:2" x14ac:dyDescent="0.3">
      <c r="A7" s="2" t="s">
        <v>12</v>
      </c>
      <c r="B7" s="3">
        <v>4578.54</v>
      </c>
    </row>
    <row r="8" spans="1:2" x14ac:dyDescent="0.3">
      <c r="A8" s="2" t="s">
        <v>17</v>
      </c>
      <c r="B8" s="3">
        <v>4508.1499999999996</v>
      </c>
    </row>
    <row r="9" spans="1:2" x14ac:dyDescent="0.3">
      <c r="A9" s="2" t="s">
        <v>7</v>
      </c>
      <c r="B9" s="3">
        <v>3747.68</v>
      </c>
    </row>
    <row r="10" spans="1:2" x14ac:dyDescent="0.3">
      <c r="A10" s="2" t="s">
        <v>9</v>
      </c>
      <c r="B10" s="3">
        <v>3713.29</v>
      </c>
    </row>
    <row r="11" spans="1:2" x14ac:dyDescent="0.3">
      <c r="A11" s="2" t="s">
        <v>26</v>
      </c>
      <c r="B11" s="3">
        <v>2683.08</v>
      </c>
    </row>
    <row r="12" spans="1:2" x14ac:dyDescent="0.3">
      <c r="A12" s="2" t="s">
        <v>11</v>
      </c>
      <c r="B12" s="3">
        <v>2500.94</v>
      </c>
    </row>
    <row r="13" spans="1:2" x14ac:dyDescent="0.3">
      <c r="A13" s="2" t="s">
        <v>30</v>
      </c>
      <c r="B13" s="3">
        <v>2345</v>
      </c>
    </row>
    <row r="14" spans="1:2" x14ac:dyDescent="0.3">
      <c r="A14" s="2" t="s">
        <v>21</v>
      </c>
      <c r="B14" s="3">
        <v>2195.9</v>
      </c>
    </row>
    <row r="15" spans="1:2" x14ac:dyDescent="0.3">
      <c r="A15" s="2" t="s">
        <v>20</v>
      </c>
      <c r="B15" s="3">
        <v>2049.9899999999998</v>
      </c>
    </row>
    <row r="16" spans="1:2" x14ac:dyDescent="0.3">
      <c r="A16" s="2" t="s">
        <v>6</v>
      </c>
      <c r="B16" s="3">
        <v>2023.04</v>
      </c>
    </row>
    <row r="17" spans="1:2" x14ac:dyDescent="0.3">
      <c r="A17" s="2" t="s">
        <v>16</v>
      </c>
      <c r="B17" s="3">
        <v>1766.66</v>
      </c>
    </row>
    <row r="18" spans="1:2" x14ac:dyDescent="0.3">
      <c r="A18" s="2" t="s">
        <v>13</v>
      </c>
      <c r="B18" s="3">
        <v>1648.08</v>
      </c>
    </row>
    <row r="19" spans="1:2" x14ac:dyDescent="0.3">
      <c r="A19" s="2" t="s">
        <v>106</v>
      </c>
      <c r="B19" s="3">
        <v>65938.240000000005</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AE46-42CA-42F5-A487-AE760F1D21A3}">
  <dimension ref="A1:B76"/>
  <sheetViews>
    <sheetView showGridLines="0" workbookViewId="0">
      <selection activeCell="B15" sqref="B15"/>
    </sheetView>
  </sheetViews>
  <sheetFormatPr defaultRowHeight="14.4" x14ac:dyDescent="0.3"/>
  <cols>
    <col min="1" max="1" width="20.44140625" style="5" bestFit="1" customWidth="1"/>
    <col min="2" max="2" width="12.109375" style="5" bestFit="1" customWidth="1"/>
    <col min="3" max="16384" width="8.88671875" style="5"/>
  </cols>
  <sheetData>
    <row r="1" spans="1:2" x14ac:dyDescent="0.3">
      <c r="A1" s="5" t="s">
        <v>76</v>
      </c>
      <c r="B1" s="5" t="s">
        <v>105</v>
      </c>
    </row>
    <row r="3" spans="1:2" x14ac:dyDescent="0.3">
      <c r="A3" s="5" t="s">
        <v>108</v>
      </c>
      <c r="B3" s="5" t="s">
        <v>107</v>
      </c>
    </row>
    <row r="4" spans="1:2" x14ac:dyDescent="0.3">
      <c r="A4" s="6" t="s">
        <v>4</v>
      </c>
      <c r="B4" s="7">
        <v>1255695.1300000004</v>
      </c>
    </row>
    <row r="5" spans="1:2" x14ac:dyDescent="0.3">
      <c r="A5" s="6" t="s">
        <v>5</v>
      </c>
      <c r="B5" s="7">
        <v>1198185.2099999997</v>
      </c>
    </row>
    <row r="6" spans="1:2" x14ac:dyDescent="0.3">
      <c r="A6" s="6" t="s">
        <v>6</v>
      </c>
      <c r="B6" s="7">
        <v>1035964.0599999998</v>
      </c>
    </row>
    <row r="7" spans="1:2" x14ac:dyDescent="0.3">
      <c r="A7" s="6" t="s">
        <v>7</v>
      </c>
      <c r="B7" s="7">
        <v>979740.91999999993</v>
      </c>
    </row>
    <row r="8" spans="1:2" x14ac:dyDescent="0.3">
      <c r="A8" s="6" t="s">
        <v>8</v>
      </c>
      <c r="B8" s="7">
        <v>904322.02</v>
      </c>
    </row>
    <row r="9" spans="1:2" x14ac:dyDescent="0.3">
      <c r="A9" s="6" t="s">
        <v>9</v>
      </c>
      <c r="B9" s="7">
        <v>727465.04999999993</v>
      </c>
    </row>
    <row r="10" spans="1:2" x14ac:dyDescent="0.3">
      <c r="A10" s="6" t="s">
        <v>10</v>
      </c>
      <c r="B10" s="7">
        <v>626825.79999999993</v>
      </c>
    </row>
    <row r="11" spans="1:2" x14ac:dyDescent="0.3">
      <c r="A11" s="6" t="s">
        <v>11</v>
      </c>
      <c r="B11" s="7">
        <v>620770.49000000011</v>
      </c>
    </row>
    <row r="12" spans="1:2" x14ac:dyDescent="0.3">
      <c r="A12" s="6" t="s">
        <v>12</v>
      </c>
      <c r="B12" s="7">
        <v>586585.73000000021</v>
      </c>
    </row>
    <row r="13" spans="1:2" x14ac:dyDescent="0.3">
      <c r="A13" s="6" t="s">
        <v>13</v>
      </c>
      <c r="B13" s="7">
        <v>481009.94000000006</v>
      </c>
    </row>
    <row r="14" spans="1:2" x14ac:dyDescent="0.3">
      <c r="A14" s="6" t="s">
        <v>14</v>
      </c>
      <c r="B14" s="7">
        <v>479808.54000000004</v>
      </c>
    </row>
    <row r="15" spans="1:2" x14ac:dyDescent="0.3">
      <c r="A15" s="6" t="s">
        <v>15</v>
      </c>
      <c r="B15" s="7">
        <v>410312.20000000013</v>
      </c>
    </row>
    <row r="16" spans="1:2" x14ac:dyDescent="0.3">
      <c r="A16" s="6" t="s">
        <v>16</v>
      </c>
      <c r="B16" s="7">
        <v>396599.31</v>
      </c>
    </row>
    <row r="17" spans="1:2" x14ac:dyDescent="0.3">
      <c r="A17" s="6" t="s">
        <v>17</v>
      </c>
      <c r="B17" s="7">
        <v>322342.64000000007</v>
      </c>
    </row>
    <row r="18" spans="1:2" x14ac:dyDescent="0.3">
      <c r="A18" s="6" t="s">
        <v>18</v>
      </c>
      <c r="B18" s="7">
        <v>273580.69999999995</v>
      </c>
    </row>
    <row r="19" spans="1:2" x14ac:dyDescent="0.3">
      <c r="A19" s="6" t="s">
        <v>106</v>
      </c>
      <c r="B19" s="7">
        <v>10299207.74</v>
      </c>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DD33-2AEA-45E6-894B-133F923D978C}">
  <dimension ref="A1:D1383"/>
  <sheetViews>
    <sheetView workbookViewId="0">
      <selection activeCell="E31" sqref="E31"/>
    </sheetView>
  </sheetViews>
  <sheetFormatPr defaultRowHeight="14.4" x14ac:dyDescent="0.3"/>
  <cols>
    <col min="1" max="1" width="35.109375" bestFit="1" customWidth="1"/>
    <col min="2" max="2" width="16.21875" bestFit="1" customWidth="1"/>
    <col min="3" max="3" width="12.21875" bestFit="1" customWidth="1"/>
    <col min="4" max="4" width="13.109375" bestFit="1" customWidth="1"/>
  </cols>
  <sheetData>
    <row r="1" spans="1:4" x14ac:dyDescent="0.3">
      <c r="A1" t="s">
        <v>0</v>
      </c>
      <c r="B1" t="s">
        <v>76</v>
      </c>
      <c r="C1" t="s">
        <v>1</v>
      </c>
      <c r="D1" t="s">
        <v>3</v>
      </c>
    </row>
    <row r="2" spans="1:4" x14ac:dyDescent="0.3">
      <c r="A2" t="s">
        <v>6</v>
      </c>
      <c r="B2" t="s">
        <v>77</v>
      </c>
      <c r="C2">
        <v>477794.2</v>
      </c>
      <c r="D2">
        <v>4405</v>
      </c>
    </row>
    <row r="3" spans="1:4" x14ac:dyDescent="0.3">
      <c r="A3" t="s">
        <v>4</v>
      </c>
      <c r="B3" t="s">
        <v>77</v>
      </c>
      <c r="C3">
        <v>460474.09</v>
      </c>
      <c r="D3">
        <v>3767</v>
      </c>
    </row>
    <row r="4" spans="1:4" x14ac:dyDescent="0.3">
      <c r="A4" t="s">
        <v>5</v>
      </c>
      <c r="B4" t="s">
        <v>77</v>
      </c>
      <c r="C4">
        <v>431119.29</v>
      </c>
      <c r="D4">
        <v>2124</v>
      </c>
    </row>
    <row r="5" spans="1:4" x14ac:dyDescent="0.3">
      <c r="A5" t="s">
        <v>7</v>
      </c>
      <c r="B5" t="s">
        <v>77</v>
      </c>
      <c r="C5">
        <v>382266</v>
      </c>
      <c r="D5">
        <v>3268</v>
      </c>
    </row>
    <row r="6" spans="1:4" x14ac:dyDescent="0.3">
      <c r="A6" t="s">
        <v>8</v>
      </c>
      <c r="B6" t="s">
        <v>77</v>
      </c>
      <c r="C6">
        <v>347162.74</v>
      </c>
      <c r="D6">
        <v>2662</v>
      </c>
    </row>
    <row r="7" spans="1:4" x14ac:dyDescent="0.3">
      <c r="A7" t="s">
        <v>9</v>
      </c>
      <c r="B7" t="s">
        <v>77</v>
      </c>
      <c r="C7">
        <v>285743.40000000002</v>
      </c>
      <c r="D7">
        <v>2710</v>
      </c>
    </row>
    <row r="8" spans="1:4" x14ac:dyDescent="0.3">
      <c r="A8" t="s">
        <v>10</v>
      </c>
      <c r="B8" t="s">
        <v>77</v>
      </c>
      <c r="C8">
        <v>273483.94</v>
      </c>
      <c r="D8">
        <v>2762</v>
      </c>
    </row>
    <row r="9" spans="1:4" x14ac:dyDescent="0.3">
      <c r="A9" t="s">
        <v>11</v>
      </c>
      <c r="B9" t="s">
        <v>77</v>
      </c>
      <c r="C9">
        <v>212337.21</v>
      </c>
      <c r="D9">
        <v>1308</v>
      </c>
    </row>
    <row r="10" spans="1:4" x14ac:dyDescent="0.3">
      <c r="A10" t="s">
        <v>12</v>
      </c>
      <c r="B10" t="s">
        <v>77</v>
      </c>
      <c r="C10">
        <v>211338.6</v>
      </c>
      <c r="D10">
        <v>1604</v>
      </c>
    </row>
    <row r="11" spans="1:4" x14ac:dyDescent="0.3">
      <c r="A11" t="s">
        <v>5</v>
      </c>
      <c r="B11" t="s">
        <v>78</v>
      </c>
      <c r="C11">
        <v>183931.5</v>
      </c>
      <c r="D11">
        <v>815</v>
      </c>
    </row>
    <row r="12" spans="1:4" x14ac:dyDescent="0.3">
      <c r="A12" t="s">
        <v>14</v>
      </c>
      <c r="B12" t="s">
        <v>77</v>
      </c>
      <c r="C12">
        <v>182906.27</v>
      </c>
      <c r="D12">
        <v>1593</v>
      </c>
    </row>
    <row r="13" spans="1:4" x14ac:dyDescent="0.3">
      <c r="A13" t="s">
        <v>16</v>
      </c>
      <c r="B13" t="s">
        <v>77</v>
      </c>
      <c r="C13">
        <v>166340.28</v>
      </c>
      <c r="D13">
        <v>1361</v>
      </c>
    </row>
    <row r="14" spans="1:4" x14ac:dyDescent="0.3">
      <c r="A14" t="s">
        <v>4</v>
      </c>
      <c r="B14" t="s">
        <v>79</v>
      </c>
      <c r="C14">
        <v>157433.32</v>
      </c>
      <c r="D14">
        <v>1009</v>
      </c>
    </row>
    <row r="15" spans="1:4" x14ac:dyDescent="0.3">
      <c r="A15" t="s">
        <v>15</v>
      </c>
      <c r="B15" t="s">
        <v>77</v>
      </c>
      <c r="C15">
        <v>155687.66</v>
      </c>
      <c r="D15">
        <v>1170</v>
      </c>
    </row>
    <row r="16" spans="1:4" x14ac:dyDescent="0.3">
      <c r="A16" t="s">
        <v>13</v>
      </c>
      <c r="B16" t="s">
        <v>77</v>
      </c>
      <c r="C16">
        <v>151561.10999999999</v>
      </c>
      <c r="D16">
        <v>1261</v>
      </c>
    </row>
    <row r="17" spans="1:4" x14ac:dyDescent="0.3">
      <c r="A17" t="s">
        <v>6</v>
      </c>
      <c r="B17" t="s">
        <v>78</v>
      </c>
      <c r="C17">
        <v>147785.43</v>
      </c>
      <c r="D17">
        <v>1391</v>
      </c>
    </row>
    <row r="18" spans="1:4" x14ac:dyDescent="0.3">
      <c r="A18" t="s">
        <v>4</v>
      </c>
      <c r="B18" t="s">
        <v>78</v>
      </c>
      <c r="C18">
        <v>144912.93</v>
      </c>
      <c r="D18">
        <v>969</v>
      </c>
    </row>
    <row r="19" spans="1:4" x14ac:dyDescent="0.3">
      <c r="A19" t="s">
        <v>6</v>
      </c>
      <c r="B19" t="s">
        <v>79</v>
      </c>
      <c r="C19">
        <v>129487.18</v>
      </c>
      <c r="D19">
        <v>1127</v>
      </c>
    </row>
    <row r="20" spans="1:4" x14ac:dyDescent="0.3">
      <c r="A20" t="s">
        <v>7</v>
      </c>
      <c r="B20" t="s">
        <v>78</v>
      </c>
      <c r="C20">
        <v>123528.53</v>
      </c>
      <c r="D20">
        <v>921</v>
      </c>
    </row>
    <row r="21" spans="1:4" x14ac:dyDescent="0.3">
      <c r="A21" t="s">
        <v>5</v>
      </c>
      <c r="B21" t="s">
        <v>79</v>
      </c>
      <c r="C21">
        <v>123473.54</v>
      </c>
      <c r="D21">
        <v>609</v>
      </c>
    </row>
    <row r="22" spans="1:4" x14ac:dyDescent="0.3">
      <c r="A22" t="s">
        <v>8</v>
      </c>
      <c r="B22" t="s">
        <v>78</v>
      </c>
      <c r="C22">
        <v>119962.1</v>
      </c>
      <c r="D22">
        <v>856</v>
      </c>
    </row>
    <row r="23" spans="1:4" x14ac:dyDescent="0.3">
      <c r="A23" t="s">
        <v>7</v>
      </c>
      <c r="B23" t="s">
        <v>79</v>
      </c>
      <c r="C23">
        <v>112371.29</v>
      </c>
      <c r="D23">
        <v>864</v>
      </c>
    </row>
    <row r="24" spans="1:4" x14ac:dyDescent="0.3">
      <c r="A24" t="s">
        <v>8</v>
      </c>
      <c r="B24" t="s">
        <v>79</v>
      </c>
      <c r="C24">
        <v>109895.17</v>
      </c>
      <c r="D24">
        <v>871</v>
      </c>
    </row>
    <row r="25" spans="1:4" x14ac:dyDescent="0.3">
      <c r="A25" t="s">
        <v>18</v>
      </c>
      <c r="B25" t="s">
        <v>77</v>
      </c>
      <c r="C25">
        <v>108018.87</v>
      </c>
      <c r="D25">
        <v>510</v>
      </c>
    </row>
    <row r="26" spans="1:4" x14ac:dyDescent="0.3">
      <c r="A26" t="s">
        <v>17</v>
      </c>
      <c r="B26" t="s">
        <v>77</v>
      </c>
      <c r="C26">
        <v>103894.41</v>
      </c>
      <c r="D26">
        <v>1516</v>
      </c>
    </row>
    <row r="27" spans="1:4" x14ac:dyDescent="0.3">
      <c r="A27" t="s">
        <v>9</v>
      </c>
      <c r="B27" t="s">
        <v>78</v>
      </c>
      <c r="C27">
        <v>97656.61</v>
      </c>
      <c r="D27">
        <v>852</v>
      </c>
    </row>
    <row r="28" spans="1:4" x14ac:dyDescent="0.3">
      <c r="A28" t="s">
        <v>19</v>
      </c>
      <c r="B28" t="s">
        <v>77</v>
      </c>
      <c r="C28">
        <v>90194.83</v>
      </c>
      <c r="D28">
        <v>979</v>
      </c>
    </row>
    <row r="29" spans="1:4" x14ac:dyDescent="0.3">
      <c r="A29" t="s">
        <v>21</v>
      </c>
      <c r="B29" t="s">
        <v>77</v>
      </c>
      <c r="C29">
        <v>89116.36</v>
      </c>
      <c r="D29">
        <v>769</v>
      </c>
    </row>
    <row r="30" spans="1:4" x14ac:dyDescent="0.3">
      <c r="A30" t="s">
        <v>11</v>
      </c>
      <c r="B30" t="s">
        <v>78</v>
      </c>
      <c r="C30">
        <v>82679.960000000006</v>
      </c>
      <c r="D30">
        <v>500</v>
      </c>
    </row>
    <row r="31" spans="1:4" x14ac:dyDescent="0.3">
      <c r="A31" t="s">
        <v>9</v>
      </c>
      <c r="B31" t="s">
        <v>79</v>
      </c>
      <c r="C31">
        <v>78844.759999999995</v>
      </c>
      <c r="D31">
        <v>725</v>
      </c>
    </row>
    <row r="32" spans="1:4" x14ac:dyDescent="0.3">
      <c r="A32" t="s">
        <v>10</v>
      </c>
      <c r="B32" t="s">
        <v>78</v>
      </c>
      <c r="C32">
        <v>76742.880000000005</v>
      </c>
      <c r="D32">
        <v>739</v>
      </c>
    </row>
    <row r="33" spans="1:4" x14ac:dyDescent="0.3">
      <c r="A33" t="s">
        <v>10</v>
      </c>
      <c r="B33" t="s">
        <v>79</v>
      </c>
      <c r="C33">
        <v>76258.33</v>
      </c>
      <c r="D33">
        <v>696</v>
      </c>
    </row>
    <row r="34" spans="1:4" x14ac:dyDescent="0.3">
      <c r="A34" t="s">
        <v>14</v>
      </c>
      <c r="B34" t="s">
        <v>78</v>
      </c>
      <c r="C34">
        <v>73502.8</v>
      </c>
      <c r="D34">
        <v>546</v>
      </c>
    </row>
    <row r="35" spans="1:4" x14ac:dyDescent="0.3">
      <c r="A35" t="s">
        <v>13</v>
      </c>
      <c r="B35" t="s">
        <v>78</v>
      </c>
      <c r="C35">
        <v>73422.06</v>
      </c>
      <c r="D35">
        <v>548</v>
      </c>
    </row>
    <row r="36" spans="1:4" x14ac:dyDescent="0.3">
      <c r="A36" t="s">
        <v>12</v>
      </c>
      <c r="B36" t="s">
        <v>79</v>
      </c>
      <c r="C36">
        <v>72069.289999999994</v>
      </c>
      <c r="D36">
        <v>467</v>
      </c>
    </row>
    <row r="37" spans="1:4" x14ac:dyDescent="0.3">
      <c r="A37" t="s">
        <v>11</v>
      </c>
      <c r="B37" t="s">
        <v>79</v>
      </c>
      <c r="C37">
        <v>70185.539999999994</v>
      </c>
      <c r="D37">
        <v>432</v>
      </c>
    </row>
    <row r="38" spans="1:4" x14ac:dyDescent="0.3">
      <c r="A38" t="s">
        <v>22</v>
      </c>
      <c r="B38" t="s">
        <v>77</v>
      </c>
      <c r="C38">
        <v>70177.39</v>
      </c>
      <c r="D38">
        <v>275</v>
      </c>
    </row>
    <row r="39" spans="1:4" x14ac:dyDescent="0.3">
      <c r="A39" t="s">
        <v>23</v>
      </c>
      <c r="B39" t="s">
        <v>77</v>
      </c>
      <c r="C39">
        <v>68138.41</v>
      </c>
      <c r="D39">
        <v>249</v>
      </c>
    </row>
    <row r="40" spans="1:4" x14ac:dyDescent="0.3">
      <c r="A40" t="s">
        <v>24</v>
      </c>
      <c r="B40" t="s">
        <v>77</v>
      </c>
      <c r="C40">
        <v>67967.070000000007</v>
      </c>
      <c r="D40">
        <v>588</v>
      </c>
    </row>
    <row r="41" spans="1:4" x14ac:dyDescent="0.3">
      <c r="A41" t="s">
        <v>12</v>
      </c>
      <c r="B41" t="s">
        <v>78</v>
      </c>
      <c r="C41">
        <v>65648.2</v>
      </c>
      <c r="D41">
        <v>412</v>
      </c>
    </row>
    <row r="42" spans="1:4" x14ac:dyDescent="0.3">
      <c r="A42" t="s">
        <v>26</v>
      </c>
      <c r="B42" t="s">
        <v>77</v>
      </c>
      <c r="C42">
        <v>62175.55</v>
      </c>
      <c r="D42">
        <v>456</v>
      </c>
    </row>
    <row r="43" spans="1:4" x14ac:dyDescent="0.3">
      <c r="A43" t="s">
        <v>20</v>
      </c>
      <c r="B43" t="s">
        <v>77</v>
      </c>
      <c r="C43">
        <v>61993.27</v>
      </c>
      <c r="D43">
        <v>50</v>
      </c>
    </row>
    <row r="44" spans="1:4" x14ac:dyDescent="0.3">
      <c r="A44" t="s">
        <v>28</v>
      </c>
      <c r="B44" t="s">
        <v>77</v>
      </c>
      <c r="C44">
        <v>60767.33</v>
      </c>
      <c r="D44">
        <v>335</v>
      </c>
    </row>
    <row r="45" spans="1:4" x14ac:dyDescent="0.3">
      <c r="A45" t="s">
        <v>13</v>
      </c>
      <c r="B45" t="s">
        <v>79</v>
      </c>
      <c r="C45">
        <v>60563.32</v>
      </c>
      <c r="D45">
        <v>487</v>
      </c>
    </row>
    <row r="46" spans="1:4" x14ac:dyDescent="0.3">
      <c r="A46" t="s">
        <v>6</v>
      </c>
      <c r="B46" t="s">
        <v>80</v>
      </c>
      <c r="C46">
        <v>60270.74</v>
      </c>
      <c r="D46">
        <v>540</v>
      </c>
    </row>
    <row r="47" spans="1:4" x14ac:dyDescent="0.3">
      <c r="A47" t="s">
        <v>5</v>
      </c>
      <c r="B47" t="s">
        <v>81</v>
      </c>
      <c r="C47">
        <v>59859.040000000001</v>
      </c>
      <c r="D47">
        <v>273</v>
      </c>
    </row>
    <row r="48" spans="1:4" x14ac:dyDescent="0.3">
      <c r="A48" t="s">
        <v>14</v>
      </c>
      <c r="B48" t="s">
        <v>79</v>
      </c>
      <c r="C48">
        <v>58888.2</v>
      </c>
      <c r="D48">
        <v>458</v>
      </c>
    </row>
    <row r="49" spans="1:4" x14ac:dyDescent="0.3">
      <c r="A49" t="s">
        <v>7</v>
      </c>
      <c r="B49" t="s">
        <v>81</v>
      </c>
      <c r="C49">
        <v>58494.400000000001</v>
      </c>
      <c r="D49">
        <v>426</v>
      </c>
    </row>
    <row r="50" spans="1:4" x14ac:dyDescent="0.3">
      <c r="A50" t="s">
        <v>27</v>
      </c>
      <c r="B50" t="s">
        <v>77</v>
      </c>
      <c r="C50">
        <v>57123.31</v>
      </c>
      <c r="D50">
        <v>778</v>
      </c>
    </row>
    <row r="51" spans="1:4" x14ac:dyDescent="0.3">
      <c r="A51" t="s">
        <v>29</v>
      </c>
      <c r="B51" t="s">
        <v>77</v>
      </c>
      <c r="C51">
        <v>56925.17</v>
      </c>
      <c r="D51">
        <v>418</v>
      </c>
    </row>
    <row r="52" spans="1:4" x14ac:dyDescent="0.3">
      <c r="A52" t="s">
        <v>4</v>
      </c>
      <c r="B52" t="s">
        <v>81</v>
      </c>
      <c r="C52">
        <v>54949.36</v>
      </c>
      <c r="D52">
        <v>381</v>
      </c>
    </row>
    <row r="53" spans="1:4" x14ac:dyDescent="0.3">
      <c r="A53" t="s">
        <v>9</v>
      </c>
      <c r="B53" t="s">
        <v>80</v>
      </c>
      <c r="C53">
        <v>54813.58</v>
      </c>
      <c r="D53">
        <v>444</v>
      </c>
    </row>
    <row r="54" spans="1:4" x14ac:dyDescent="0.3">
      <c r="A54" t="s">
        <v>7</v>
      </c>
      <c r="B54" t="s">
        <v>80</v>
      </c>
      <c r="C54">
        <v>53596.32</v>
      </c>
      <c r="D54">
        <v>420</v>
      </c>
    </row>
    <row r="55" spans="1:4" x14ac:dyDescent="0.3">
      <c r="A55" t="s">
        <v>16</v>
      </c>
      <c r="B55" t="s">
        <v>78</v>
      </c>
      <c r="C55">
        <v>53435.29</v>
      </c>
      <c r="D55">
        <v>410</v>
      </c>
    </row>
    <row r="56" spans="1:4" x14ac:dyDescent="0.3">
      <c r="A56" t="s">
        <v>8</v>
      </c>
      <c r="B56" t="s">
        <v>80</v>
      </c>
      <c r="C56">
        <v>52757.73</v>
      </c>
      <c r="D56">
        <v>390</v>
      </c>
    </row>
    <row r="57" spans="1:4" x14ac:dyDescent="0.3">
      <c r="A57" t="s">
        <v>25</v>
      </c>
      <c r="B57" t="s">
        <v>77</v>
      </c>
      <c r="C57">
        <v>51840.24</v>
      </c>
      <c r="D57">
        <v>934</v>
      </c>
    </row>
    <row r="58" spans="1:4" x14ac:dyDescent="0.3">
      <c r="A58" t="s">
        <v>4</v>
      </c>
      <c r="B58" t="s">
        <v>80</v>
      </c>
      <c r="C58">
        <v>51317.82</v>
      </c>
      <c r="D58">
        <v>395</v>
      </c>
    </row>
    <row r="59" spans="1:4" x14ac:dyDescent="0.3">
      <c r="A59" t="s">
        <v>4</v>
      </c>
      <c r="B59" t="s">
        <v>83</v>
      </c>
      <c r="C59">
        <v>51217.91</v>
      </c>
      <c r="D59">
        <v>328</v>
      </c>
    </row>
    <row r="60" spans="1:4" x14ac:dyDescent="0.3">
      <c r="A60" t="s">
        <v>9</v>
      </c>
      <c r="B60" t="s">
        <v>81</v>
      </c>
      <c r="C60">
        <v>49484.89</v>
      </c>
      <c r="D60">
        <v>397</v>
      </c>
    </row>
    <row r="61" spans="1:4" x14ac:dyDescent="0.3">
      <c r="A61" t="s">
        <v>5</v>
      </c>
      <c r="B61" t="s">
        <v>83</v>
      </c>
      <c r="C61">
        <v>48820.59</v>
      </c>
      <c r="D61">
        <v>221</v>
      </c>
    </row>
    <row r="62" spans="1:4" x14ac:dyDescent="0.3">
      <c r="A62" t="s">
        <v>5</v>
      </c>
      <c r="B62" t="s">
        <v>80</v>
      </c>
      <c r="C62">
        <v>48152.53</v>
      </c>
      <c r="D62">
        <v>227</v>
      </c>
    </row>
    <row r="63" spans="1:4" x14ac:dyDescent="0.3">
      <c r="A63" t="s">
        <v>15</v>
      </c>
      <c r="B63" t="s">
        <v>79</v>
      </c>
      <c r="C63">
        <v>47730.39</v>
      </c>
      <c r="D63">
        <v>344</v>
      </c>
    </row>
    <row r="64" spans="1:4" x14ac:dyDescent="0.3">
      <c r="A64" t="s">
        <v>16</v>
      </c>
      <c r="B64" t="s">
        <v>79</v>
      </c>
      <c r="C64">
        <v>47588.08</v>
      </c>
      <c r="D64">
        <v>374</v>
      </c>
    </row>
    <row r="65" spans="1:4" x14ac:dyDescent="0.3">
      <c r="A65" t="s">
        <v>18</v>
      </c>
      <c r="B65" t="s">
        <v>78</v>
      </c>
      <c r="C65">
        <v>46532.19</v>
      </c>
      <c r="D65">
        <v>216</v>
      </c>
    </row>
    <row r="66" spans="1:4" x14ac:dyDescent="0.3">
      <c r="A66" t="s">
        <v>6</v>
      </c>
      <c r="B66" t="s">
        <v>81</v>
      </c>
      <c r="C66">
        <v>45570.57</v>
      </c>
      <c r="D66">
        <v>401</v>
      </c>
    </row>
    <row r="67" spans="1:4" x14ac:dyDescent="0.3">
      <c r="A67" t="s">
        <v>11</v>
      </c>
      <c r="B67" t="s">
        <v>80</v>
      </c>
      <c r="C67">
        <v>44177.39</v>
      </c>
      <c r="D67">
        <v>253</v>
      </c>
    </row>
    <row r="68" spans="1:4" x14ac:dyDescent="0.3">
      <c r="A68" t="s">
        <v>8</v>
      </c>
      <c r="B68" t="s">
        <v>81</v>
      </c>
      <c r="C68">
        <v>43577.09</v>
      </c>
      <c r="D68">
        <v>335</v>
      </c>
    </row>
    <row r="69" spans="1:4" x14ac:dyDescent="0.3">
      <c r="A69" t="s">
        <v>7</v>
      </c>
      <c r="B69" t="s">
        <v>82</v>
      </c>
      <c r="C69">
        <v>43466.9</v>
      </c>
      <c r="D69">
        <v>314</v>
      </c>
    </row>
    <row r="70" spans="1:4" x14ac:dyDescent="0.3">
      <c r="A70" t="s">
        <v>15</v>
      </c>
      <c r="B70" t="s">
        <v>78</v>
      </c>
      <c r="C70">
        <v>42318.52</v>
      </c>
      <c r="D70">
        <v>345</v>
      </c>
    </row>
    <row r="71" spans="1:4" x14ac:dyDescent="0.3">
      <c r="A71" t="s">
        <v>4</v>
      </c>
      <c r="B71" t="s">
        <v>87</v>
      </c>
      <c r="C71">
        <v>41604.78</v>
      </c>
      <c r="D71">
        <v>226</v>
      </c>
    </row>
    <row r="72" spans="1:4" x14ac:dyDescent="0.3">
      <c r="A72" t="s">
        <v>4</v>
      </c>
      <c r="B72" t="s">
        <v>82</v>
      </c>
      <c r="C72">
        <v>39418.629999999997</v>
      </c>
      <c r="D72">
        <v>284</v>
      </c>
    </row>
    <row r="73" spans="1:4" x14ac:dyDescent="0.3">
      <c r="A73" t="s">
        <v>10</v>
      </c>
      <c r="B73" t="s">
        <v>80</v>
      </c>
      <c r="C73">
        <v>38897.629999999997</v>
      </c>
      <c r="D73">
        <v>349</v>
      </c>
    </row>
    <row r="74" spans="1:4" x14ac:dyDescent="0.3">
      <c r="A74" t="s">
        <v>17</v>
      </c>
      <c r="B74" t="s">
        <v>78</v>
      </c>
      <c r="C74">
        <v>38406.17</v>
      </c>
      <c r="D74">
        <v>406</v>
      </c>
    </row>
    <row r="75" spans="1:4" x14ac:dyDescent="0.3">
      <c r="A75" t="s">
        <v>7</v>
      </c>
      <c r="B75" t="s">
        <v>83</v>
      </c>
      <c r="C75">
        <v>38244.85</v>
      </c>
      <c r="D75">
        <v>256</v>
      </c>
    </row>
    <row r="76" spans="1:4" x14ac:dyDescent="0.3">
      <c r="A76" t="s">
        <v>8</v>
      </c>
      <c r="B76" t="s">
        <v>82</v>
      </c>
      <c r="C76">
        <v>37607.230000000003</v>
      </c>
      <c r="D76">
        <v>266</v>
      </c>
    </row>
    <row r="77" spans="1:4" x14ac:dyDescent="0.3">
      <c r="A77" t="s">
        <v>11</v>
      </c>
      <c r="B77" t="s">
        <v>81</v>
      </c>
      <c r="C77">
        <v>37539.120000000003</v>
      </c>
      <c r="D77">
        <v>203</v>
      </c>
    </row>
    <row r="78" spans="1:4" x14ac:dyDescent="0.3">
      <c r="A78" t="s">
        <v>17</v>
      </c>
      <c r="B78" t="s">
        <v>79</v>
      </c>
      <c r="C78">
        <v>35064.71</v>
      </c>
      <c r="D78">
        <v>459</v>
      </c>
    </row>
    <row r="79" spans="1:4" x14ac:dyDescent="0.3">
      <c r="A79" t="s">
        <v>13</v>
      </c>
      <c r="B79" t="s">
        <v>80</v>
      </c>
      <c r="C79">
        <v>34824.699999999997</v>
      </c>
      <c r="D79">
        <v>231</v>
      </c>
    </row>
    <row r="80" spans="1:4" x14ac:dyDescent="0.3">
      <c r="A80" t="s">
        <v>31</v>
      </c>
      <c r="B80" t="s">
        <v>77</v>
      </c>
      <c r="C80">
        <v>34208.58</v>
      </c>
      <c r="D80">
        <v>203</v>
      </c>
    </row>
    <row r="81" spans="1:4" x14ac:dyDescent="0.3">
      <c r="A81" t="s">
        <v>32</v>
      </c>
      <c r="B81" t="s">
        <v>77</v>
      </c>
      <c r="C81">
        <v>33701.94</v>
      </c>
      <c r="D81">
        <v>343</v>
      </c>
    </row>
    <row r="82" spans="1:4" x14ac:dyDescent="0.3">
      <c r="A82" t="s">
        <v>8</v>
      </c>
      <c r="B82" t="s">
        <v>83</v>
      </c>
      <c r="C82">
        <v>33494.910000000003</v>
      </c>
      <c r="D82">
        <v>221</v>
      </c>
    </row>
    <row r="83" spans="1:4" x14ac:dyDescent="0.3">
      <c r="A83" t="s">
        <v>5</v>
      </c>
      <c r="B83" t="s">
        <v>82</v>
      </c>
      <c r="C83">
        <v>33419.33</v>
      </c>
      <c r="D83">
        <v>164</v>
      </c>
    </row>
    <row r="84" spans="1:4" x14ac:dyDescent="0.3">
      <c r="A84" t="s">
        <v>30</v>
      </c>
      <c r="B84" t="s">
        <v>77</v>
      </c>
      <c r="C84">
        <v>33073.760000000002</v>
      </c>
      <c r="D84">
        <v>88</v>
      </c>
    </row>
    <row r="85" spans="1:4" x14ac:dyDescent="0.3">
      <c r="A85" t="s">
        <v>19</v>
      </c>
      <c r="B85" t="s">
        <v>78</v>
      </c>
      <c r="C85">
        <v>33036.43</v>
      </c>
      <c r="D85">
        <v>302</v>
      </c>
    </row>
    <row r="86" spans="1:4" x14ac:dyDescent="0.3">
      <c r="A86" t="s">
        <v>5</v>
      </c>
      <c r="B86" t="s">
        <v>84</v>
      </c>
      <c r="C86">
        <v>32730.37</v>
      </c>
      <c r="D86">
        <v>143</v>
      </c>
    </row>
    <row r="87" spans="1:4" x14ac:dyDescent="0.3">
      <c r="A87" t="s">
        <v>4</v>
      </c>
      <c r="B87" t="s">
        <v>88</v>
      </c>
      <c r="C87">
        <v>32419.18</v>
      </c>
      <c r="D87">
        <v>156</v>
      </c>
    </row>
    <row r="88" spans="1:4" x14ac:dyDescent="0.3">
      <c r="A88" t="s">
        <v>5</v>
      </c>
      <c r="B88" t="s">
        <v>85</v>
      </c>
      <c r="C88">
        <v>32358.720000000001</v>
      </c>
      <c r="D88">
        <v>142</v>
      </c>
    </row>
    <row r="89" spans="1:4" x14ac:dyDescent="0.3">
      <c r="A89" t="s">
        <v>9</v>
      </c>
      <c r="B89" t="s">
        <v>82</v>
      </c>
      <c r="C89">
        <v>32335.34</v>
      </c>
      <c r="D89">
        <v>276</v>
      </c>
    </row>
    <row r="90" spans="1:4" x14ac:dyDescent="0.3">
      <c r="A90" t="s">
        <v>21</v>
      </c>
      <c r="B90" t="s">
        <v>79</v>
      </c>
      <c r="C90">
        <v>31987.34</v>
      </c>
      <c r="D90">
        <v>222</v>
      </c>
    </row>
    <row r="91" spans="1:4" x14ac:dyDescent="0.3">
      <c r="A91" t="s">
        <v>10</v>
      </c>
      <c r="B91" t="s">
        <v>81</v>
      </c>
      <c r="C91">
        <v>31162.61</v>
      </c>
      <c r="D91">
        <v>282</v>
      </c>
    </row>
    <row r="92" spans="1:4" x14ac:dyDescent="0.3">
      <c r="A92" t="s">
        <v>6</v>
      </c>
      <c r="B92" t="s">
        <v>82</v>
      </c>
      <c r="C92">
        <v>31148.52</v>
      </c>
      <c r="D92">
        <v>272</v>
      </c>
    </row>
    <row r="93" spans="1:4" x14ac:dyDescent="0.3">
      <c r="A93" t="s">
        <v>5</v>
      </c>
      <c r="B93" t="s">
        <v>87</v>
      </c>
      <c r="C93">
        <v>30994.78</v>
      </c>
      <c r="D93">
        <v>146</v>
      </c>
    </row>
    <row r="94" spans="1:4" x14ac:dyDescent="0.3">
      <c r="A94" t="s">
        <v>15</v>
      </c>
      <c r="B94" t="s">
        <v>80</v>
      </c>
      <c r="C94">
        <v>30218.93</v>
      </c>
      <c r="D94">
        <v>200</v>
      </c>
    </row>
    <row r="95" spans="1:4" x14ac:dyDescent="0.3">
      <c r="A95" t="s">
        <v>4</v>
      </c>
      <c r="B95" t="s">
        <v>84</v>
      </c>
      <c r="C95">
        <v>29862.82</v>
      </c>
      <c r="D95">
        <v>223</v>
      </c>
    </row>
    <row r="96" spans="1:4" x14ac:dyDescent="0.3">
      <c r="A96" t="s">
        <v>12</v>
      </c>
      <c r="B96" t="s">
        <v>83</v>
      </c>
      <c r="C96">
        <v>29762.5</v>
      </c>
      <c r="D96">
        <v>148</v>
      </c>
    </row>
    <row r="97" spans="1:4" x14ac:dyDescent="0.3">
      <c r="A97" t="s">
        <v>22</v>
      </c>
      <c r="B97" t="s">
        <v>78</v>
      </c>
      <c r="C97">
        <v>29607.4</v>
      </c>
      <c r="D97">
        <v>85</v>
      </c>
    </row>
    <row r="98" spans="1:4" x14ac:dyDescent="0.3">
      <c r="A98" t="s">
        <v>5</v>
      </c>
      <c r="B98" t="s">
        <v>86</v>
      </c>
      <c r="C98">
        <v>29461</v>
      </c>
      <c r="D98">
        <v>145</v>
      </c>
    </row>
    <row r="99" spans="1:4" x14ac:dyDescent="0.3">
      <c r="A99" t="s">
        <v>5</v>
      </c>
      <c r="B99" t="s">
        <v>88</v>
      </c>
      <c r="C99">
        <v>29285.24</v>
      </c>
      <c r="D99">
        <v>129</v>
      </c>
    </row>
    <row r="100" spans="1:4" x14ac:dyDescent="0.3">
      <c r="A100" t="s">
        <v>14</v>
      </c>
      <c r="B100" t="s">
        <v>80</v>
      </c>
      <c r="C100">
        <v>29037.52</v>
      </c>
      <c r="D100">
        <v>203</v>
      </c>
    </row>
    <row r="101" spans="1:4" x14ac:dyDescent="0.3">
      <c r="A101" t="s">
        <v>30</v>
      </c>
      <c r="B101" t="s">
        <v>78</v>
      </c>
      <c r="C101">
        <v>28822.51</v>
      </c>
      <c r="D101">
        <v>45</v>
      </c>
    </row>
    <row r="102" spans="1:4" x14ac:dyDescent="0.3">
      <c r="A102" t="s">
        <v>11</v>
      </c>
      <c r="B102" t="s">
        <v>82</v>
      </c>
      <c r="C102">
        <v>28498.799999999999</v>
      </c>
      <c r="D102">
        <v>148</v>
      </c>
    </row>
    <row r="103" spans="1:4" x14ac:dyDescent="0.3">
      <c r="A103" t="s">
        <v>4</v>
      </c>
      <c r="B103" t="s">
        <v>85</v>
      </c>
      <c r="C103">
        <v>28312.3</v>
      </c>
      <c r="D103">
        <v>208</v>
      </c>
    </row>
    <row r="104" spans="1:4" x14ac:dyDescent="0.3">
      <c r="A104" t="s">
        <v>18</v>
      </c>
      <c r="B104" t="s">
        <v>79</v>
      </c>
      <c r="C104">
        <v>28150.240000000002</v>
      </c>
      <c r="D104">
        <v>134</v>
      </c>
    </row>
    <row r="105" spans="1:4" x14ac:dyDescent="0.3">
      <c r="A105" t="s">
        <v>12</v>
      </c>
      <c r="B105" t="s">
        <v>82</v>
      </c>
      <c r="C105">
        <v>27511.58</v>
      </c>
      <c r="D105">
        <v>163</v>
      </c>
    </row>
    <row r="106" spans="1:4" x14ac:dyDescent="0.3">
      <c r="A106" t="s">
        <v>35</v>
      </c>
      <c r="B106" t="s">
        <v>77</v>
      </c>
      <c r="C106">
        <v>27333.63</v>
      </c>
      <c r="D106">
        <v>184</v>
      </c>
    </row>
    <row r="107" spans="1:4" x14ac:dyDescent="0.3">
      <c r="A107" t="s">
        <v>12</v>
      </c>
      <c r="B107" t="s">
        <v>81</v>
      </c>
      <c r="C107">
        <v>27228.49</v>
      </c>
      <c r="D107">
        <v>206</v>
      </c>
    </row>
    <row r="108" spans="1:4" x14ac:dyDescent="0.3">
      <c r="A108" t="s">
        <v>10</v>
      </c>
      <c r="B108" t="s">
        <v>82</v>
      </c>
      <c r="C108">
        <v>27012.84</v>
      </c>
      <c r="D108">
        <v>223</v>
      </c>
    </row>
    <row r="109" spans="1:4" x14ac:dyDescent="0.3">
      <c r="A109" t="s">
        <v>23</v>
      </c>
      <c r="B109" t="s">
        <v>79</v>
      </c>
      <c r="C109">
        <v>26455.59</v>
      </c>
      <c r="D109">
        <v>69</v>
      </c>
    </row>
    <row r="110" spans="1:4" x14ac:dyDescent="0.3">
      <c r="A110" t="s">
        <v>25</v>
      </c>
      <c r="B110" t="s">
        <v>78</v>
      </c>
      <c r="C110">
        <v>26364.61</v>
      </c>
      <c r="D110">
        <v>400</v>
      </c>
    </row>
    <row r="111" spans="1:4" x14ac:dyDescent="0.3">
      <c r="A111" t="s">
        <v>12</v>
      </c>
      <c r="B111" t="s">
        <v>80</v>
      </c>
      <c r="C111">
        <v>25943.119999999999</v>
      </c>
      <c r="D111">
        <v>175</v>
      </c>
    </row>
    <row r="112" spans="1:4" x14ac:dyDescent="0.3">
      <c r="A112" t="s">
        <v>33</v>
      </c>
      <c r="B112" t="s">
        <v>77</v>
      </c>
      <c r="C112">
        <v>25884.05</v>
      </c>
      <c r="D112">
        <v>85</v>
      </c>
    </row>
    <row r="113" spans="1:4" x14ac:dyDescent="0.3">
      <c r="A113" t="s">
        <v>6</v>
      </c>
      <c r="B113" t="s">
        <v>83</v>
      </c>
      <c r="C113">
        <v>25695.19</v>
      </c>
      <c r="D113">
        <v>221</v>
      </c>
    </row>
    <row r="114" spans="1:4" x14ac:dyDescent="0.3">
      <c r="A114" t="s">
        <v>21</v>
      </c>
      <c r="B114" t="s">
        <v>78</v>
      </c>
      <c r="C114">
        <v>25483.53</v>
      </c>
      <c r="D114">
        <v>197</v>
      </c>
    </row>
    <row r="115" spans="1:4" x14ac:dyDescent="0.3">
      <c r="A115" t="s">
        <v>19</v>
      </c>
      <c r="B115" t="s">
        <v>79</v>
      </c>
      <c r="C115">
        <v>25047.49</v>
      </c>
      <c r="D115">
        <v>242</v>
      </c>
    </row>
    <row r="116" spans="1:4" x14ac:dyDescent="0.3">
      <c r="A116" t="s">
        <v>13</v>
      </c>
      <c r="B116" t="s">
        <v>83</v>
      </c>
      <c r="C116">
        <v>24228.51</v>
      </c>
      <c r="D116">
        <v>145</v>
      </c>
    </row>
    <row r="117" spans="1:4" x14ac:dyDescent="0.3">
      <c r="A117" t="s">
        <v>8</v>
      </c>
      <c r="B117" t="s">
        <v>84</v>
      </c>
      <c r="C117">
        <v>24129.33</v>
      </c>
      <c r="D117">
        <v>135</v>
      </c>
    </row>
    <row r="118" spans="1:4" x14ac:dyDescent="0.3">
      <c r="A118" t="s">
        <v>14</v>
      </c>
      <c r="B118" t="s">
        <v>81</v>
      </c>
      <c r="C118">
        <v>24035.21</v>
      </c>
      <c r="D118">
        <v>200</v>
      </c>
    </row>
    <row r="119" spans="1:4" x14ac:dyDescent="0.3">
      <c r="A119" t="s">
        <v>24</v>
      </c>
      <c r="B119" t="s">
        <v>78</v>
      </c>
      <c r="C119">
        <v>23900.49</v>
      </c>
      <c r="D119">
        <v>200</v>
      </c>
    </row>
    <row r="120" spans="1:4" x14ac:dyDescent="0.3">
      <c r="A120" t="s">
        <v>40</v>
      </c>
      <c r="B120" t="s">
        <v>77</v>
      </c>
      <c r="C120">
        <v>23900.26</v>
      </c>
      <c r="D120">
        <v>123</v>
      </c>
    </row>
    <row r="121" spans="1:4" x14ac:dyDescent="0.3">
      <c r="A121" t="s">
        <v>13</v>
      </c>
      <c r="B121" t="s">
        <v>82</v>
      </c>
      <c r="C121">
        <v>23779.34</v>
      </c>
      <c r="D121">
        <v>145</v>
      </c>
    </row>
    <row r="122" spans="1:4" x14ac:dyDescent="0.3">
      <c r="A122" t="s">
        <v>4</v>
      </c>
      <c r="B122" t="s">
        <v>89</v>
      </c>
      <c r="C122">
        <v>23755.83</v>
      </c>
      <c r="D122">
        <v>101</v>
      </c>
    </row>
    <row r="123" spans="1:4" x14ac:dyDescent="0.3">
      <c r="A123" t="s">
        <v>9</v>
      </c>
      <c r="B123" t="s">
        <v>83</v>
      </c>
      <c r="C123">
        <v>23425.96</v>
      </c>
      <c r="D123">
        <v>202</v>
      </c>
    </row>
    <row r="124" spans="1:4" x14ac:dyDescent="0.3">
      <c r="A124" t="s">
        <v>34</v>
      </c>
      <c r="B124" t="s">
        <v>77</v>
      </c>
      <c r="C124">
        <v>23332.23</v>
      </c>
      <c r="D124">
        <v>161</v>
      </c>
    </row>
    <row r="125" spans="1:4" x14ac:dyDescent="0.3">
      <c r="A125" t="s">
        <v>20</v>
      </c>
      <c r="B125" t="s">
        <v>78</v>
      </c>
      <c r="C125">
        <v>23260.45</v>
      </c>
      <c r="D125">
        <v>22</v>
      </c>
    </row>
    <row r="126" spans="1:4" x14ac:dyDescent="0.3">
      <c r="A126" t="s">
        <v>27</v>
      </c>
      <c r="B126" t="s">
        <v>79</v>
      </c>
      <c r="C126">
        <v>23190.31</v>
      </c>
      <c r="D126">
        <v>246</v>
      </c>
    </row>
    <row r="127" spans="1:4" x14ac:dyDescent="0.3">
      <c r="A127" t="s">
        <v>7</v>
      </c>
      <c r="B127" t="s">
        <v>84</v>
      </c>
      <c r="C127">
        <v>22705.67</v>
      </c>
      <c r="D127">
        <v>192</v>
      </c>
    </row>
    <row r="128" spans="1:4" x14ac:dyDescent="0.3">
      <c r="A128" t="s">
        <v>29</v>
      </c>
      <c r="B128" t="s">
        <v>79</v>
      </c>
      <c r="C128">
        <v>22686.65</v>
      </c>
      <c r="D128">
        <v>176</v>
      </c>
    </row>
    <row r="129" spans="1:4" x14ac:dyDescent="0.3">
      <c r="A129" t="s">
        <v>6</v>
      </c>
      <c r="B129" t="s">
        <v>86</v>
      </c>
      <c r="C129">
        <v>22678.65</v>
      </c>
      <c r="D129">
        <v>199</v>
      </c>
    </row>
    <row r="130" spans="1:4" x14ac:dyDescent="0.3">
      <c r="A130" t="s">
        <v>6</v>
      </c>
      <c r="B130" t="s">
        <v>85</v>
      </c>
      <c r="C130">
        <v>22645.31</v>
      </c>
      <c r="D130">
        <v>192</v>
      </c>
    </row>
    <row r="131" spans="1:4" x14ac:dyDescent="0.3">
      <c r="A131" t="s">
        <v>5</v>
      </c>
      <c r="B131" t="s">
        <v>89</v>
      </c>
      <c r="C131">
        <v>22559.82</v>
      </c>
      <c r="D131">
        <v>74</v>
      </c>
    </row>
    <row r="132" spans="1:4" x14ac:dyDescent="0.3">
      <c r="A132" t="s">
        <v>37</v>
      </c>
      <c r="B132" t="s">
        <v>77</v>
      </c>
      <c r="C132">
        <v>22460.04</v>
      </c>
      <c r="D132">
        <v>115</v>
      </c>
    </row>
    <row r="133" spans="1:4" x14ac:dyDescent="0.3">
      <c r="A133" t="s">
        <v>15</v>
      </c>
      <c r="B133" t="s">
        <v>81</v>
      </c>
      <c r="C133">
        <v>21764.45</v>
      </c>
      <c r="D133">
        <v>152</v>
      </c>
    </row>
    <row r="134" spans="1:4" x14ac:dyDescent="0.3">
      <c r="A134" t="s">
        <v>17</v>
      </c>
      <c r="B134" t="s">
        <v>83</v>
      </c>
      <c r="C134">
        <v>21144.41</v>
      </c>
      <c r="D134">
        <v>229</v>
      </c>
    </row>
    <row r="135" spans="1:4" x14ac:dyDescent="0.3">
      <c r="A135" t="s">
        <v>28</v>
      </c>
      <c r="B135" t="s">
        <v>78</v>
      </c>
      <c r="C135">
        <v>21078.25</v>
      </c>
      <c r="D135">
        <v>105</v>
      </c>
    </row>
    <row r="136" spans="1:4" x14ac:dyDescent="0.3">
      <c r="A136" t="s">
        <v>20</v>
      </c>
      <c r="B136" t="s">
        <v>83</v>
      </c>
      <c r="C136">
        <v>21043.99</v>
      </c>
      <c r="D136">
        <v>19</v>
      </c>
    </row>
    <row r="137" spans="1:4" x14ac:dyDescent="0.3">
      <c r="A137" t="s">
        <v>11</v>
      </c>
      <c r="B137" t="s">
        <v>83</v>
      </c>
      <c r="C137">
        <v>21031.14</v>
      </c>
      <c r="D137">
        <v>137</v>
      </c>
    </row>
    <row r="138" spans="1:4" x14ac:dyDescent="0.3">
      <c r="A138" t="s">
        <v>20</v>
      </c>
      <c r="B138" t="s">
        <v>79</v>
      </c>
      <c r="C138">
        <v>20973</v>
      </c>
      <c r="D138">
        <v>18</v>
      </c>
    </row>
    <row r="139" spans="1:4" x14ac:dyDescent="0.3">
      <c r="A139" t="s">
        <v>25</v>
      </c>
      <c r="B139" t="s">
        <v>79</v>
      </c>
      <c r="C139">
        <v>20811.490000000002</v>
      </c>
      <c r="D139">
        <v>259</v>
      </c>
    </row>
    <row r="140" spans="1:4" x14ac:dyDescent="0.3">
      <c r="A140" t="s">
        <v>13</v>
      </c>
      <c r="B140" t="s">
        <v>81</v>
      </c>
      <c r="C140">
        <v>20646.349999999999</v>
      </c>
      <c r="D140">
        <v>173</v>
      </c>
    </row>
    <row r="141" spans="1:4" x14ac:dyDescent="0.3">
      <c r="A141" t="s">
        <v>23</v>
      </c>
      <c r="B141" t="s">
        <v>78</v>
      </c>
      <c r="C141">
        <v>20484.82</v>
      </c>
      <c r="D141">
        <v>75</v>
      </c>
    </row>
    <row r="142" spans="1:4" x14ac:dyDescent="0.3">
      <c r="A142" t="s">
        <v>16</v>
      </c>
      <c r="B142" t="s">
        <v>80</v>
      </c>
      <c r="C142">
        <v>20304.349999999999</v>
      </c>
      <c r="D142">
        <v>145</v>
      </c>
    </row>
    <row r="143" spans="1:4" x14ac:dyDescent="0.3">
      <c r="A143" t="s">
        <v>7</v>
      </c>
      <c r="B143" t="s">
        <v>87</v>
      </c>
      <c r="C143">
        <v>20302.91</v>
      </c>
      <c r="D143">
        <v>134</v>
      </c>
    </row>
    <row r="144" spans="1:4" x14ac:dyDescent="0.3">
      <c r="A144" t="s">
        <v>4</v>
      </c>
      <c r="B144" t="s">
        <v>86</v>
      </c>
      <c r="C144">
        <v>20214.490000000002</v>
      </c>
      <c r="D144">
        <v>153</v>
      </c>
    </row>
    <row r="145" spans="1:4" x14ac:dyDescent="0.3">
      <c r="A145" t="s">
        <v>7</v>
      </c>
      <c r="B145" t="s">
        <v>86</v>
      </c>
      <c r="C145">
        <v>20086.2</v>
      </c>
      <c r="D145">
        <v>156</v>
      </c>
    </row>
    <row r="146" spans="1:4" x14ac:dyDescent="0.3">
      <c r="A146" t="s">
        <v>26</v>
      </c>
      <c r="B146" t="s">
        <v>79</v>
      </c>
      <c r="C146">
        <v>19952.669999999998</v>
      </c>
      <c r="D146">
        <v>122</v>
      </c>
    </row>
    <row r="147" spans="1:4" x14ac:dyDescent="0.3">
      <c r="A147" t="s">
        <v>7</v>
      </c>
      <c r="B147" t="s">
        <v>85</v>
      </c>
      <c r="C147">
        <v>19547.25</v>
      </c>
      <c r="D147">
        <v>151</v>
      </c>
    </row>
    <row r="148" spans="1:4" x14ac:dyDescent="0.3">
      <c r="A148" t="s">
        <v>24</v>
      </c>
      <c r="B148" t="s">
        <v>79</v>
      </c>
      <c r="C148">
        <v>19498.240000000002</v>
      </c>
      <c r="D148">
        <v>175</v>
      </c>
    </row>
    <row r="149" spans="1:4" x14ac:dyDescent="0.3">
      <c r="A149" t="s">
        <v>41</v>
      </c>
      <c r="B149" t="s">
        <v>77</v>
      </c>
      <c r="C149">
        <v>19248.75</v>
      </c>
      <c r="D149">
        <v>213</v>
      </c>
    </row>
    <row r="150" spans="1:4" x14ac:dyDescent="0.3">
      <c r="A150" t="s">
        <v>17</v>
      </c>
      <c r="B150" t="s">
        <v>80</v>
      </c>
      <c r="C150">
        <v>18792.310000000001</v>
      </c>
      <c r="D150">
        <v>251</v>
      </c>
    </row>
    <row r="151" spans="1:4" x14ac:dyDescent="0.3">
      <c r="A151" t="s">
        <v>43</v>
      </c>
      <c r="B151" t="s">
        <v>77</v>
      </c>
      <c r="C151">
        <v>18520.7</v>
      </c>
      <c r="D151">
        <v>115</v>
      </c>
    </row>
    <row r="152" spans="1:4" x14ac:dyDescent="0.3">
      <c r="A152" t="s">
        <v>28</v>
      </c>
      <c r="B152" t="s">
        <v>79</v>
      </c>
      <c r="C152">
        <v>18040.689999999999</v>
      </c>
      <c r="D152">
        <v>99</v>
      </c>
    </row>
    <row r="153" spans="1:4" x14ac:dyDescent="0.3">
      <c r="A153" t="s">
        <v>11</v>
      </c>
      <c r="B153" t="s">
        <v>85</v>
      </c>
      <c r="C153">
        <v>17928.189999999999</v>
      </c>
      <c r="D153">
        <v>85</v>
      </c>
    </row>
    <row r="154" spans="1:4" x14ac:dyDescent="0.3">
      <c r="A154" t="s">
        <v>36</v>
      </c>
      <c r="B154" t="s">
        <v>78</v>
      </c>
      <c r="C154">
        <v>17907.29</v>
      </c>
      <c r="D154">
        <v>25</v>
      </c>
    </row>
    <row r="155" spans="1:4" x14ac:dyDescent="0.3">
      <c r="A155" t="s">
        <v>42</v>
      </c>
      <c r="B155" t="s">
        <v>77</v>
      </c>
      <c r="C155">
        <v>17894.16</v>
      </c>
      <c r="D155">
        <v>109</v>
      </c>
    </row>
    <row r="156" spans="1:4" x14ac:dyDescent="0.3">
      <c r="A156" t="s">
        <v>38</v>
      </c>
      <c r="B156" t="s">
        <v>77</v>
      </c>
      <c r="C156">
        <v>17518.59</v>
      </c>
      <c r="D156">
        <v>138</v>
      </c>
    </row>
    <row r="157" spans="1:4" x14ac:dyDescent="0.3">
      <c r="A157" t="s">
        <v>12</v>
      </c>
      <c r="B157" t="s">
        <v>84</v>
      </c>
      <c r="C157">
        <v>17389.04</v>
      </c>
      <c r="D157">
        <v>104</v>
      </c>
    </row>
    <row r="158" spans="1:4" x14ac:dyDescent="0.3">
      <c r="A158" t="s">
        <v>22</v>
      </c>
      <c r="B158" t="s">
        <v>79</v>
      </c>
      <c r="C158">
        <v>17212.189999999999</v>
      </c>
      <c r="D158">
        <v>60</v>
      </c>
    </row>
    <row r="159" spans="1:4" x14ac:dyDescent="0.3">
      <c r="A159" t="s">
        <v>10</v>
      </c>
      <c r="B159" t="s">
        <v>83</v>
      </c>
      <c r="C159">
        <v>17035.77</v>
      </c>
      <c r="D159">
        <v>143</v>
      </c>
    </row>
    <row r="160" spans="1:4" x14ac:dyDescent="0.3">
      <c r="A160" t="s">
        <v>15</v>
      </c>
      <c r="B160" t="s">
        <v>82</v>
      </c>
      <c r="C160">
        <v>16878.47</v>
      </c>
      <c r="D160">
        <v>97</v>
      </c>
    </row>
    <row r="161" spans="1:4" x14ac:dyDescent="0.3">
      <c r="A161" t="s">
        <v>26</v>
      </c>
      <c r="B161" t="s">
        <v>78</v>
      </c>
      <c r="C161">
        <v>16861.34</v>
      </c>
      <c r="D161">
        <v>130</v>
      </c>
    </row>
    <row r="162" spans="1:4" x14ac:dyDescent="0.3">
      <c r="A162" t="s">
        <v>34</v>
      </c>
      <c r="B162" t="s">
        <v>78</v>
      </c>
      <c r="C162">
        <v>16697.34</v>
      </c>
      <c r="D162">
        <v>96</v>
      </c>
    </row>
    <row r="163" spans="1:4" x14ac:dyDescent="0.3">
      <c r="A163" t="s">
        <v>39</v>
      </c>
      <c r="B163" t="s">
        <v>77</v>
      </c>
      <c r="C163">
        <v>16562.55</v>
      </c>
      <c r="D163">
        <v>34</v>
      </c>
    </row>
    <row r="164" spans="1:4" x14ac:dyDescent="0.3">
      <c r="A164" t="s">
        <v>37</v>
      </c>
      <c r="B164" t="s">
        <v>78</v>
      </c>
      <c r="C164">
        <v>16446.2</v>
      </c>
      <c r="D164">
        <v>60</v>
      </c>
    </row>
    <row r="165" spans="1:4" x14ac:dyDescent="0.3">
      <c r="A165" t="s">
        <v>6</v>
      </c>
      <c r="B165" t="s">
        <v>84</v>
      </c>
      <c r="C165">
        <v>16390.509999999998</v>
      </c>
      <c r="D165">
        <v>173</v>
      </c>
    </row>
    <row r="166" spans="1:4" x14ac:dyDescent="0.3">
      <c r="A166" t="s">
        <v>27</v>
      </c>
      <c r="B166" t="s">
        <v>78</v>
      </c>
      <c r="C166">
        <v>16288.3</v>
      </c>
      <c r="D166">
        <v>185</v>
      </c>
    </row>
    <row r="167" spans="1:4" x14ac:dyDescent="0.3">
      <c r="A167" t="s">
        <v>4</v>
      </c>
      <c r="B167" t="s">
        <v>93</v>
      </c>
      <c r="C167">
        <v>16286.98</v>
      </c>
      <c r="D167">
        <v>77</v>
      </c>
    </row>
    <row r="168" spans="1:4" x14ac:dyDescent="0.3">
      <c r="A168" t="s">
        <v>16</v>
      </c>
      <c r="B168" t="s">
        <v>81</v>
      </c>
      <c r="C168">
        <v>15833.32</v>
      </c>
      <c r="D168">
        <v>138</v>
      </c>
    </row>
    <row r="169" spans="1:4" x14ac:dyDescent="0.3">
      <c r="A169" t="s">
        <v>18</v>
      </c>
      <c r="B169" t="s">
        <v>81</v>
      </c>
      <c r="C169">
        <v>15717.12</v>
      </c>
      <c r="D169">
        <v>55</v>
      </c>
    </row>
    <row r="170" spans="1:4" x14ac:dyDescent="0.3">
      <c r="A170" t="s">
        <v>14</v>
      </c>
      <c r="B170" t="s">
        <v>82</v>
      </c>
      <c r="C170">
        <v>15634.32</v>
      </c>
      <c r="D170">
        <v>114</v>
      </c>
    </row>
    <row r="171" spans="1:4" x14ac:dyDescent="0.3">
      <c r="A171" t="s">
        <v>36</v>
      </c>
      <c r="B171" t="s">
        <v>77</v>
      </c>
      <c r="C171">
        <v>15482.43</v>
      </c>
      <c r="D171">
        <v>96</v>
      </c>
    </row>
    <row r="172" spans="1:4" x14ac:dyDescent="0.3">
      <c r="A172" t="s">
        <v>15</v>
      </c>
      <c r="B172" t="s">
        <v>83</v>
      </c>
      <c r="C172">
        <v>15377.33</v>
      </c>
      <c r="D172">
        <v>95</v>
      </c>
    </row>
    <row r="173" spans="1:4" x14ac:dyDescent="0.3">
      <c r="A173" t="s">
        <v>45</v>
      </c>
      <c r="B173" t="s">
        <v>77</v>
      </c>
      <c r="C173">
        <v>15328.67</v>
      </c>
      <c r="D173">
        <v>245</v>
      </c>
    </row>
    <row r="174" spans="1:4" x14ac:dyDescent="0.3">
      <c r="A174" t="s">
        <v>22</v>
      </c>
      <c r="B174" t="s">
        <v>80</v>
      </c>
      <c r="C174">
        <v>15317.7</v>
      </c>
      <c r="D174">
        <v>39</v>
      </c>
    </row>
    <row r="175" spans="1:4" x14ac:dyDescent="0.3">
      <c r="A175" t="s">
        <v>4</v>
      </c>
      <c r="B175" t="s">
        <v>90</v>
      </c>
      <c r="C175">
        <v>15301.79</v>
      </c>
      <c r="D175">
        <v>84</v>
      </c>
    </row>
    <row r="176" spans="1:4" x14ac:dyDescent="0.3">
      <c r="A176" t="s">
        <v>13</v>
      </c>
      <c r="B176" t="s">
        <v>85</v>
      </c>
      <c r="C176">
        <v>15033.47</v>
      </c>
      <c r="D176">
        <v>75</v>
      </c>
    </row>
    <row r="177" spans="1:4" x14ac:dyDescent="0.3">
      <c r="A177" t="s">
        <v>29</v>
      </c>
      <c r="B177" t="s">
        <v>78</v>
      </c>
      <c r="C177">
        <v>15014.58</v>
      </c>
      <c r="D177">
        <v>116</v>
      </c>
    </row>
    <row r="178" spans="1:4" x14ac:dyDescent="0.3">
      <c r="A178" t="s">
        <v>5</v>
      </c>
      <c r="B178" t="s">
        <v>90</v>
      </c>
      <c r="C178">
        <v>15006.91</v>
      </c>
      <c r="D178">
        <v>59</v>
      </c>
    </row>
    <row r="179" spans="1:4" x14ac:dyDescent="0.3">
      <c r="A179" t="s">
        <v>48</v>
      </c>
      <c r="B179" t="s">
        <v>77</v>
      </c>
      <c r="C179">
        <v>14937.84</v>
      </c>
      <c r="D179">
        <v>94</v>
      </c>
    </row>
    <row r="180" spans="1:4" x14ac:dyDescent="0.3">
      <c r="A180" t="s">
        <v>10</v>
      </c>
      <c r="B180" t="s">
        <v>85</v>
      </c>
      <c r="C180">
        <v>14836.1</v>
      </c>
      <c r="D180">
        <v>101</v>
      </c>
    </row>
    <row r="181" spans="1:4" x14ac:dyDescent="0.3">
      <c r="A181" t="s">
        <v>14</v>
      </c>
      <c r="B181" t="s">
        <v>83</v>
      </c>
      <c r="C181">
        <v>14509.03</v>
      </c>
      <c r="D181">
        <v>115</v>
      </c>
    </row>
    <row r="182" spans="1:4" x14ac:dyDescent="0.3">
      <c r="A182" t="s">
        <v>8</v>
      </c>
      <c r="B182" t="s">
        <v>86</v>
      </c>
      <c r="C182">
        <v>14491.18</v>
      </c>
      <c r="D182">
        <v>138</v>
      </c>
    </row>
    <row r="183" spans="1:4" x14ac:dyDescent="0.3">
      <c r="A183" t="s">
        <v>11</v>
      </c>
      <c r="B183" t="s">
        <v>87</v>
      </c>
      <c r="C183">
        <v>14245.52</v>
      </c>
      <c r="D183">
        <v>73</v>
      </c>
    </row>
    <row r="184" spans="1:4" x14ac:dyDescent="0.3">
      <c r="A184" t="s">
        <v>18</v>
      </c>
      <c r="B184" t="s">
        <v>83</v>
      </c>
      <c r="C184">
        <v>14225.83</v>
      </c>
      <c r="D184">
        <v>61</v>
      </c>
    </row>
    <row r="185" spans="1:4" x14ac:dyDescent="0.3">
      <c r="A185" t="s">
        <v>44</v>
      </c>
      <c r="B185" t="s">
        <v>77</v>
      </c>
      <c r="C185">
        <v>14127.57</v>
      </c>
      <c r="D185">
        <v>55</v>
      </c>
    </row>
    <row r="186" spans="1:4" x14ac:dyDescent="0.3">
      <c r="A186" t="s">
        <v>16</v>
      </c>
      <c r="B186" t="s">
        <v>82</v>
      </c>
      <c r="C186">
        <v>13954.45</v>
      </c>
      <c r="D186">
        <v>108</v>
      </c>
    </row>
    <row r="187" spans="1:4" x14ac:dyDescent="0.3">
      <c r="A187" t="s">
        <v>4</v>
      </c>
      <c r="B187" t="s">
        <v>95</v>
      </c>
      <c r="C187">
        <v>13886.47</v>
      </c>
      <c r="D187">
        <v>57</v>
      </c>
    </row>
    <row r="188" spans="1:4" x14ac:dyDescent="0.3">
      <c r="A188" t="s">
        <v>8</v>
      </c>
      <c r="B188" t="s">
        <v>85</v>
      </c>
      <c r="C188">
        <v>13856.23</v>
      </c>
      <c r="D188">
        <v>111</v>
      </c>
    </row>
    <row r="189" spans="1:4" x14ac:dyDescent="0.3">
      <c r="A189" t="s">
        <v>5</v>
      </c>
      <c r="B189" t="s">
        <v>93</v>
      </c>
      <c r="C189">
        <v>13388.88</v>
      </c>
      <c r="D189">
        <v>43</v>
      </c>
    </row>
    <row r="190" spans="1:4" x14ac:dyDescent="0.3">
      <c r="A190" t="s">
        <v>17</v>
      </c>
      <c r="B190" t="s">
        <v>81</v>
      </c>
      <c r="C190">
        <v>13273.28</v>
      </c>
      <c r="D190">
        <v>226</v>
      </c>
    </row>
    <row r="191" spans="1:4" x14ac:dyDescent="0.3">
      <c r="A191" t="s">
        <v>10</v>
      </c>
      <c r="B191" t="s">
        <v>84</v>
      </c>
      <c r="C191">
        <v>12988.35</v>
      </c>
      <c r="D191">
        <v>123</v>
      </c>
    </row>
    <row r="192" spans="1:4" x14ac:dyDescent="0.3">
      <c r="A192" t="s">
        <v>8</v>
      </c>
      <c r="B192" t="s">
        <v>87</v>
      </c>
      <c r="C192">
        <v>12982.91</v>
      </c>
      <c r="D192">
        <v>100</v>
      </c>
    </row>
    <row r="193" spans="1:4" x14ac:dyDescent="0.3">
      <c r="A193" t="s">
        <v>9</v>
      </c>
      <c r="B193" t="s">
        <v>86</v>
      </c>
      <c r="C193">
        <v>12912.72</v>
      </c>
      <c r="D193">
        <v>114</v>
      </c>
    </row>
    <row r="194" spans="1:4" x14ac:dyDescent="0.3">
      <c r="A194" t="s">
        <v>4</v>
      </c>
      <c r="B194" t="s">
        <v>96</v>
      </c>
      <c r="C194">
        <v>12780.26</v>
      </c>
      <c r="D194">
        <v>63</v>
      </c>
    </row>
    <row r="195" spans="1:4" x14ac:dyDescent="0.3">
      <c r="A195" t="s">
        <v>19</v>
      </c>
      <c r="B195" t="s">
        <v>80</v>
      </c>
      <c r="C195">
        <v>12769.01</v>
      </c>
      <c r="D195">
        <v>137</v>
      </c>
    </row>
    <row r="196" spans="1:4" x14ac:dyDescent="0.3">
      <c r="A196" t="s">
        <v>4</v>
      </c>
      <c r="B196" t="s">
        <v>91</v>
      </c>
      <c r="C196">
        <v>12747.18</v>
      </c>
      <c r="D196">
        <v>83</v>
      </c>
    </row>
    <row r="197" spans="1:4" x14ac:dyDescent="0.3">
      <c r="A197" t="s">
        <v>7</v>
      </c>
      <c r="B197" t="s">
        <v>89</v>
      </c>
      <c r="C197">
        <v>12733.25</v>
      </c>
      <c r="D197">
        <v>76</v>
      </c>
    </row>
    <row r="198" spans="1:4" x14ac:dyDescent="0.3">
      <c r="A198" t="s">
        <v>8</v>
      </c>
      <c r="B198" t="s">
        <v>91</v>
      </c>
      <c r="C198">
        <v>12581.43</v>
      </c>
      <c r="D198">
        <v>65</v>
      </c>
    </row>
    <row r="199" spans="1:4" x14ac:dyDescent="0.3">
      <c r="A199" t="s">
        <v>9</v>
      </c>
      <c r="B199" t="s">
        <v>85</v>
      </c>
      <c r="C199">
        <v>12554.88</v>
      </c>
      <c r="D199">
        <v>104</v>
      </c>
    </row>
    <row r="200" spans="1:4" x14ac:dyDescent="0.3">
      <c r="A200" t="s">
        <v>11</v>
      </c>
      <c r="B200" t="s">
        <v>84</v>
      </c>
      <c r="C200">
        <v>12413.29</v>
      </c>
      <c r="D200">
        <v>79</v>
      </c>
    </row>
    <row r="201" spans="1:4" x14ac:dyDescent="0.3">
      <c r="A201" t="s">
        <v>11</v>
      </c>
      <c r="B201" t="s">
        <v>88</v>
      </c>
      <c r="C201">
        <v>12235.4</v>
      </c>
      <c r="D201">
        <v>48</v>
      </c>
    </row>
    <row r="202" spans="1:4" x14ac:dyDescent="0.3">
      <c r="A202" t="s">
        <v>8</v>
      </c>
      <c r="B202" t="s">
        <v>88</v>
      </c>
      <c r="C202">
        <v>12217.65</v>
      </c>
      <c r="D202">
        <v>84</v>
      </c>
    </row>
    <row r="203" spans="1:4" x14ac:dyDescent="0.3">
      <c r="A203" t="s">
        <v>33</v>
      </c>
      <c r="B203" t="s">
        <v>79</v>
      </c>
      <c r="C203">
        <v>12126.49</v>
      </c>
      <c r="D203">
        <v>14</v>
      </c>
    </row>
    <row r="204" spans="1:4" x14ac:dyDescent="0.3">
      <c r="A204" t="s">
        <v>9</v>
      </c>
      <c r="B204" t="s">
        <v>84</v>
      </c>
      <c r="C204">
        <v>12080.71</v>
      </c>
      <c r="D204">
        <v>109</v>
      </c>
    </row>
    <row r="205" spans="1:4" x14ac:dyDescent="0.3">
      <c r="A205" t="s">
        <v>17</v>
      </c>
      <c r="B205" t="s">
        <v>82</v>
      </c>
      <c r="C205">
        <v>12027.49</v>
      </c>
      <c r="D205">
        <v>164</v>
      </c>
    </row>
    <row r="206" spans="1:4" x14ac:dyDescent="0.3">
      <c r="A206" t="s">
        <v>12</v>
      </c>
      <c r="B206" t="s">
        <v>88</v>
      </c>
      <c r="C206">
        <v>11985.5</v>
      </c>
      <c r="D206">
        <v>54</v>
      </c>
    </row>
    <row r="207" spans="1:4" x14ac:dyDescent="0.3">
      <c r="A207" t="s">
        <v>12</v>
      </c>
      <c r="B207" t="s">
        <v>86</v>
      </c>
      <c r="C207">
        <v>11859.36</v>
      </c>
      <c r="D207">
        <v>81</v>
      </c>
    </row>
    <row r="208" spans="1:4" x14ac:dyDescent="0.3">
      <c r="A208" t="s">
        <v>12</v>
      </c>
      <c r="B208" t="s">
        <v>87</v>
      </c>
      <c r="C208">
        <v>11857.46</v>
      </c>
      <c r="D208">
        <v>80</v>
      </c>
    </row>
    <row r="209" spans="1:4" x14ac:dyDescent="0.3">
      <c r="A209" t="s">
        <v>14</v>
      </c>
      <c r="B209" t="s">
        <v>84</v>
      </c>
      <c r="C209">
        <v>11791.85</v>
      </c>
      <c r="D209">
        <v>91</v>
      </c>
    </row>
    <row r="210" spans="1:4" x14ac:dyDescent="0.3">
      <c r="A210" t="s">
        <v>8</v>
      </c>
      <c r="B210" t="s">
        <v>89</v>
      </c>
      <c r="C210">
        <v>11694.09</v>
      </c>
      <c r="D210">
        <v>84</v>
      </c>
    </row>
    <row r="211" spans="1:4" x14ac:dyDescent="0.3">
      <c r="A211" t="s">
        <v>5</v>
      </c>
      <c r="B211" t="s">
        <v>96</v>
      </c>
      <c r="C211">
        <v>11683.27</v>
      </c>
      <c r="D211">
        <v>35</v>
      </c>
    </row>
    <row r="212" spans="1:4" x14ac:dyDescent="0.3">
      <c r="A212" t="s">
        <v>10</v>
      </c>
      <c r="B212" t="s">
        <v>86</v>
      </c>
      <c r="C212">
        <v>11525.92</v>
      </c>
      <c r="D212">
        <v>102</v>
      </c>
    </row>
    <row r="213" spans="1:4" x14ac:dyDescent="0.3">
      <c r="A213" t="s">
        <v>22</v>
      </c>
      <c r="B213" t="s">
        <v>84</v>
      </c>
      <c r="C213">
        <v>11437.13</v>
      </c>
      <c r="D213">
        <v>23</v>
      </c>
    </row>
    <row r="214" spans="1:4" x14ac:dyDescent="0.3">
      <c r="A214" t="s">
        <v>12</v>
      </c>
      <c r="B214" t="s">
        <v>85</v>
      </c>
      <c r="C214">
        <v>11360.75</v>
      </c>
      <c r="D214">
        <v>75</v>
      </c>
    </row>
    <row r="215" spans="1:4" x14ac:dyDescent="0.3">
      <c r="A215" t="s">
        <v>19</v>
      </c>
      <c r="B215" t="s">
        <v>81</v>
      </c>
      <c r="C215">
        <v>11231.99</v>
      </c>
      <c r="D215">
        <v>121</v>
      </c>
    </row>
    <row r="216" spans="1:4" x14ac:dyDescent="0.3">
      <c r="A216" t="s">
        <v>4</v>
      </c>
      <c r="B216" t="s">
        <v>92</v>
      </c>
      <c r="C216">
        <v>11231.58</v>
      </c>
      <c r="D216">
        <v>57</v>
      </c>
    </row>
    <row r="217" spans="1:4" x14ac:dyDescent="0.3">
      <c r="A217" t="s">
        <v>22</v>
      </c>
      <c r="B217" t="s">
        <v>81</v>
      </c>
      <c r="C217">
        <v>11217.34</v>
      </c>
      <c r="D217">
        <v>39</v>
      </c>
    </row>
    <row r="218" spans="1:4" x14ac:dyDescent="0.3">
      <c r="A218" t="s">
        <v>21</v>
      </c>
      <c r="B218" t="s">
        <v>80</v>
      </c>
      <c r="C218">
        <v>11045.61</v>
      </c>
      <c r="D218">
        <v>84</v>
      </c>
    </row>
    <row r="219" spans="1:4" x14ac:dyDescent="0.3">
      <c r="A219" t="s">
        <v>11</v>
      </c>
      <c r="B219" t="s">
        <v>86</v>
      </c>
      <c r="C219">
        <v>10909.83</v>
      </c>
      <c r="D219">
        <v>63</v>
      </c>
    </row>
    <row r="220" spans="1:4" x14ac:dyDescent="0.3">
      <c r="A220" t="s">
        <v>10</v>
      </c>
      <c r="B220" t="s">
        <v>92</v>
      </c>
      <c r="C220">
        <v>10861.74</v>
      </c>
      <c r="D220">
        <v>34</v>
      </c>
    </row>
    <row r="221" spans="1:4" x14ac:dyDescent="0.3">
      <c r="A221" t="s">
        <v>30</v>
      </c>
      <c r="B221" t="s">
        <v>80</v>
      </c>
      <c r="C221">
        <v>10800.18</v>
      </c>
      <c r="D221">
        <v>12</v>
      </c>
    </row>
    <row r="222" spans="1:4" x14ac:dyDescent="0.3">
      <c r="A222" t="s">
        <v>20</v>
      </c>
      <c r="B222" t="s">
        <v>84</v>
      </c>
      <c r="C222">
        <v>10786.99</v>
      </c>
      <c r="D222">
        <v>6</v>
      </c>
    </row>
    <row r="223" spans="1:4" x14ac:dyDescent="0.3">
      <c r="A223" t="s">
        <v>13</v>
      </c>
      <c r="B223" t="s">
        <v>86</v>
      </c>
      <c r="C223">
        <v>10732.53</v>
      </c>
      <c r="D223">
        <v>85</v>
      </c>
    </row>
    <row r="224" spans="1:4" x14ac:dyDescent="0.3">
      <c r="A224" t="s">
        <v>17</v>
      </c>
      <c r="B224" t="s">
        <v>87</v>
      </c>
      <c r="C224">
        <v>10608.94</v>
      </c>
      <c r="D224">
        <v>122</v>
      </c>
    </row>
    <row r="225" spans="1:4" x14ac:dyDescent="0.3">
      <c r="A225" t="s">
        <v>7</v>
      </c>
      <c r="B225" t="s">
        <v>88</v>
      </c>
      <c r="C225">
        <v>10551.62</v>
      </c>
      <c r="D225">
        <v>89</v>
      </c>
    </row>
    <row r="226" spans="1:4" x14ac:dyDescent="0.3">
      <c r="A226" t="s">
        <v>18</v>
      </c>
      <c r="B226" t="s">
        <v>80</v>
      </c>
      <c r="C226">
        <v>10512.58</v>
      </c>
      <c r="D226">
        <v>56</v>
      </c>
    </row>
    <row r="227" spans="1:4" x14ac:dyDescent="0.3">
      <c r="A227" t="s">
        <v>14</v>
      </c>
      <c r="B227" t="s">
        <v>86</v>
      </c>
      <c r="C227">
        <v>10458.459999999999</v>
      </c>
      <c r="D227">
        <v>92</v>
      </c>
    </row>
    <row r="228" spans="1:4" x14ac:dyDescent="0.3">
      <c r="A228" t="s">
        <v>18</v>
      </c>
      <c r="B228" t="s">
        <v>82</v>
      </c>
      <c r="C228">
        <v>10439.129999999999</v>
      </c>
      <c r="D228">
        <v>42</v>
      </c>
    </row>
    <row r="229" spans="1:4" x14ac:dyDescent="0.3">
      <c r="A229" t="s">
        <v>12</v>
      </c>
      <c r="B229" t="s">
        <v>90</v>
      </c>
      <c r="C229">
        <v>10367.41</v>
      </c>
      <c r="D229">
        <v>50</v>
      </c>
    </row>
    <row r="230" spans="1:4" x14ac:dyDescent="0.3">
      <c r="A230" t="s">
        <v>16</v>
      </c>
      <c r="B230" t="s">
        <v>85</v>
      </c>
      <c r="C230">
        <v>10274.68</v>
      </c>
      <c r="D230">
        <v>84</v>
      </c>
    </row>
    <row r="231" spans="1:4" x14ac:dyDescent="0.3">
      <c r="A231" t="s">
        <v>23</v>
      </c>
      <c r="B231" t="s">
        <v>81</v>
      </c>
      <c r="C231">
        <v>10233.49</v>
      </c>
      <c r="D231">
        <v>34</v>
      </c>
    </row>
    <row r="232" spans="1:4" x14ac:dyDescent="0.3">
      <c r="A232" t="s">
        <v>4</v>
      </c>
      <c r="B232" t="s">
        <v>94</v>
      </c>
      <c r="C232">
        <v>10205.200000000001</v>
      </c>
      <c r="D232">
        <v>50</v>
      </c>
    </row>
    <row r="233" spans="1:4" x14ac:dyDescent="0.3">
      <c r="A233" t="s">
        <v>5</v>
      </c>
      <c r="B233" t="s">
        <v>95</v>
      </c>
      <c r="C233">
        <v>10160.42</v>
      </c>
      <c r="D233">
        <v>47</v>
      </c>
    </row>
    <row r="234" spans="1:4" x14ac:dyDescent="0.3">
      <c r="A234" t="s">
        <v>24</v>
      </c>
      <c r="B234" t="s">
        <v>89</v>
      </c>
      <c r="C234">
        <v>10157.959999999999</v>
      </c>
      <c r="D234">
        <v>19</v>
      </c>
    </row>
    <row r="235" spans="1:4" x14ac:dyDescent="0.3">
      <c r="A235" t="s">
        <v>12</v>
      </c>
      <c r="B235" t="s">
        <v>94</v>
      </c>
      <c r="C235">
        <v>10134.68</v>
      </c>
      <c r="D235">
        <v>28</v>
      </c>
    </row>
    <row r="236" spans="1:4" x14ac:dyDescent="0.3">
      <c r="A236" t="s">
        <v>23</v>
      </c>
      <c r="B236" t="s">
        <v>83</v>
      </c>
      <c r="C236">
        <v>10033.299999999999</v>
      </c>
      <c r="D236">
        <v>33</v>
      </c>
    </row>
    <row r="237" spans="1:4" x14ac:dyDescent="0.3">
      <c r="A237" t="s">
        <v>16</v>
      </c>
      <c r="B237" t="s">
        <v>84</v>
      </c>
      <c r="C237">
        <v>9948.0400000000009</v>
      </c>
      <c r="D237">
        <v>82</v>
      </c>
    </row>
    <row r="238" spans="1:4" x14ac:dyDescent="0.3">
      <c r="A238" t="s">
        <v>52</v>
      </c>
      <c r="B238" t="s">
        <v>77</v>
      </c>
      <c r="C238">
        <v>9946.06</v>
      </c>
      <c r="D238">
        <v>44</v>
      </c>
    </row>
    <row r="239" spans="1:4" x14ac:dyDescent="0.3">
      <c r="A239" t="s">
        <v>15</v>
      </c>
      <c r="B239" t="s">
        <v>89</v>
      </c>
      <c r="C239">
        <v>9882.75</v>
      </c>
      <c r="D239">
        <v>42</v>
      </c>
    </row>
    <row r="240" spans="1:4" x14ac:dyDescent="0.3">
      <c r="A240" t="s">
        <v>8</v>
      </c>
      <c r="B240" t="s">
        <v>92</v>
      </c>
      <c r="C240">
        <v>9878.7900000000009</v>
      </c>
      <c r="D240">
        <v>55</v>
      </c>
    </row>
    <row r="241" spans="1:4" x14ac:dyDescent="0.3">
      <c r="A241" t="s">
        <v>5</v>
      </c>
      <c r="B241" t="s">
        <v>91</v>
      </c>
      <c r="C241">
        <v>9835.99</v>
      </c>
      <c r="D241">
        <v>57</v>
      </c>
    </row>
    <row r="242" spans="1:4" x14ac:dyDescent="0.3">
      <c r="A242" t="s">
        <v>46</v>
      </c>
      <c r="B242" t="s">
        <v>77</v>
      </c>
      <c r="C242">
        <v>9824.6299999999992</v>
      </c>
      <c r="D242">
        <v>105</v>
      </c>
    </row>
    <row r="243" spans="1:4" x14ac:dyDescent="0.3">
      <c r="A243" t="s">
        <v>16</v>
      </c>
      <c r="B243" t="s">
        <v>83</v>
      </c>
      <c r="C243">
        <v>9723.01</v>
      </c>
      <c r="D243">
        <v>80</v>
      </c>
    </row>
    <row r="244" spans="1:4" x14ac:dyDescent="0.3">
      <c r="A244" t="s">
        <v>15</v>
      </c>
      <c r="B244" t="s">
        <v>85</v>
      </c>
      <c r="C244">
        <v>9631.8700000000008</v>
      </c>
      <c r="D244">
        <v>54</v>
      </c>
    </row>
    <row r="245" spans="1:4" x14ac:dyDescent="0.3">
      <c r="A245" t="s">
        <v>20</v>
      </c>
      <c r="B245" t="s">
        <v>87</v>
      </c>
      <c r="C245">
        <v>9596.9699999999993</v>
      </c>
      <c r="D245">
        <v>9</v>
      </c>
    </row>
    <row r="246" spans="1:4" x14ac:dyDescent="0.3">
      <c r="A246" t="s">
        <v>9</v>
      </c>
      <c r="B246" t="s">
        <v>87</v>
      </c>
      <c r="C246">
        <v>9593.2800000000007</v>
      </c>
      <c r="D246">
        <v>73</v>
      </c>
    </row>
    <row r="247" spans="1:4" x14ac:dyDescent="0.3">
      <c r="A247" t="s">
        <v>24</v>
      </c>
      <c r="B247" t="s">
        <v>80</v>
      </c>
      <c r="C247">
        <v>9551.4</v>
      </c>
      <c r="D247">
        <v>85</v>
      </c>
    </row>
    <row r="248" spans="1:4" x14ac:dyDescent="0.3">
      <c r="A248" t="s">
        <v>6</v>
      </c>
      <c r="B248" t="s">
        <v>87</v>
      </c>
      <c r="C248">
        <v>9443.32</v>
      </c>
      <c r="D248">
        <v>82</v>
      </c>
    </row>
    <row r="249" spans="1:4" x14ac:dyDescent="0.3">
      <c r="A249" t="s">
        <v>7</v>
      </c>
      <c r="B249" t="s">
        <v>90</v>
      </c>
      <c r="C249">
        <v>9433.02</v>
      </c>
      <c r="D249">
        <v>70</v>
      </c>
    </row>
    <row r="250" spans="1:4" x14ac:dyDescent="0.3">
      <c r="A250" t="s">
        <v>38</v>
      </c>
      <c r="B250" t="s">
        <v>78</v>
      </c>
      <c r="C250">
        <v>9360.35</v>
      </c>
      <c r="D250">
        <v>54</v>
      </c>
    </row>
    <row r="251" spans="1:4" x14ac:dyDescent="0.3">
      <c r="A251" t="s">
        <v>17</v>
      </c>
      <c r="B251" t="s">
        <v>86</v>
      </c>
      <c r="C251">
        <v>9323.35</v>
      </c>
      <c r="D251">
        <v>104</v>
      </c>
    </row>
    <row r="252" spans="1:4" x14ac:dyDescent="0.3">
      <c r="A252" t="s">
        <v>13</v>
      </c>
      <c r="B252" t="s">
        <v>84</v>
      </c>
      <c r="C252">
        <v>9247.14</v>
      </c>
      <c r="D252">
        <v>45</v>
      </c>
    </row>
    <row r="253" spans="1:4" x14ac:dyDescent="0.3">
      <c r="A253" t="s">
        <v>28</v>
      </c>
      <c r="B253" t="s">
        <v>81</v>
      </c>
      <c r="C253">
        <v>9200.82</v>
      </c>
      <c r="D253">
        <v>46</v>
      </c>
    </row>
    <row r="254" spans="1:4" x14ac:dyDescent="0.3">
      <c r="A254" t="s">
        <v>25</v>
      </c>
      <c r="B254" t="s">
        <v>81</v>
      </c>
      <c r="C254">
        <v>9196.61</v>
      </c>
      <c r="D254">
        <v>167</v>
      </c>
    </row>
    <row r="255" spans="1:4" x14ac:dyDescent="0.3">
      <c r="A255" t="s">
        <v>7</v>
      </c>
      <c r="B255" t="s">
        <v>92</v>
      </c>
      <c r="C255">
        <v>9177.09</v>
      </c>
      <c r="D255">
        <v>61</v>
      </c>
    </row>
    <row r="256" spans="1:4" x14ac:dyDescent="0.3">
      <c r="A256" t="s">
        <v>50</v>
      </c>
      <c r="B256" t="s">
        <v>77</v>
      </c>
      <c r="C256">
        <v>9075.1299999999992</v>
      </c>
      <c r="D256">
        <v>166</v>
      </c>
    </row>
    <row r="257" spans="1:4" x14ac:dyDescent="0.3">
      <c r="A257" t="s">
        <v>32</v>
      </c>
      <c r="B257" t="s">
        <v>78</v>
      </c>
      <c r="C257">
        <v>9064.48</v>
      </c>
      <c r="D257">
        <v>83</v>
      </c>
    </row>
    <row r="258" spans="1:4" x14ac:dyDescent="0.3">
      <c r="A258" t="s">
        <v>21</v>
      </c>
      <c r="B258" t="s">
        <v>82</v>
      </c>
      <c r="C258">
        <v>9018</v>
      </c>
      <c r="D258">
        <v>79</v>
      </c>
    </row>
    <row r="259" spans="1:4" x14ac:dyDescent="0.3">
      <c r="A259" t="s">
        <v>9</v>
      </c>
      <c r="B259" t="s">
        <v>89</v>
      </c>
      <c r="C259">
        <v>8994.75</v>
      </c>
      <c r="D259">
        <v>53</v>
      </c>
    </row>
    <row r="260" spans="1:4" x14ac:dyDescent="0.3">
      <c r="A260" t="s">
        <v>14</v>
      </c>
      <c r="B260" t="s">
        <v>87</v>
      </c>
      <c r="C260">
        <v>8949.2000000000007</v>
      </c>
      <c r="D260">
        <v>57</v>
      </c>
    </row>
    <row r="261" spans="1:4" x14ac:dyDescent="0.3">
      <c r="A261" t="s">
        <v>9</v>
      </c>
      <c r="B261" t="s">
        <v>88</v>
      </c>
      <c r="C261">
        <v>8936.14</v>
      </c>
      <c r="D261">
        <v>67</v>
      </c>
    </row>
    <row r="262" spans="1:4" x14ac:dyDescent="0.3">
      <c r="A262" t="s">
        <v>4</v>
      </c>
      <c r="B262" t="s">
        <v>97</v>
      </c>
      <c r="C262">
        <v>8883.66</v>
      </c>
      <c r="D262">
        <v>40</v>
      </c>
    </row>
    <row r="263" spans="1:4" x14ac:dyDescent="0.3">
      <c r="A263" t="s">
        <v>8</v>
      </c>
      <c r="B263" t="s">
        <v>90</v>
      </c>
      <c r="C263">
        <v>8873.15</v>
      </c>
      <c r="D263">
        <v>45</v>
      </c>
    </row>
    <row r="264" spans="1:4" x14ac:dyDescent="0.3">
      <c r="A264" t="s">
        <v>13</v>
      </c>
      <c r="B264" t="s">
        <v>90</v>
      </c>
      <c r="C264">
        <v>8850.1299999999992</v>
      </c>
      <c r="D264">
        <v>37</v>
      </c>
    </row>
    <row r="265" spans="1:4" x14ac:dyDescent="0.3">
      <c r="A265" t="s">
        <v>16</v>
      </c>
      <c r="B265" t="s">
        <v>88</v>
      </c>
      <c r="C265">
        <v>8747.73</v>
      </c>
      <c r="D265">
        <v>54</v>
      </c>
    </row>
    <row r="266" spans="1:4" x14ac:dyDescent="0.3">
      <c r="A266" t="s">
        <v>24</v>
      </c>
      <c r="B266" t="s">
        <v>85</v>
      </c>
      <c r="C266">
        <v>8659.8799999999992</v>
      </c>
      <c r="D266">
        <v>51</v>
      </c>
    </row>
    <row r="267" spans="1:4" x14ac:dyDescent="0.3">
      <c r="A267" t="s">
        <v>19</v>
      </c>
      <c r="B267" t="s">
        <v>82</v>
      </c>
      <c r="C267">
        <v>8658.01</v>
      </c>
      <c r="D267">
        <v>82</v>
      </c>
    </row>
    <row r="268" spans="1:4" x14ac:dyDescent="0.3">
      <c r="A268" t="s">
        <v>15</v>
      </c>
      <c r="B268" t="s">
        <v>84</v>
      </c>
      <c r="C268">
        <v>8621.3700000000008</v>
      </c>
      <c r="D268">
        <v>66</v>
      </c>
    </row>
    <row r="269" spans="1:4" x14ac:dyDescent="0.3">
      <c r="A269" t="s">
        <v>33</v>
      </c>
      <c r="B269" t="s">
        <v>78</v>
      </c>
      <c r="C269">
        <v>8598.86</v>
      </c>
      <c r="D269">
        <v>25</v>
      </c>
    </row>
    <row r="270" spans="1:4" x14ac:dyDescent="0.3">
      <c r="A270" t="s">
        <v>39</v>
      </c>
      <c r="B270" t="s">
        <v>81</v>
      </c>
      <c r="C270">
        <v>8590</v>
      </c>
      <c r="D270">
        <v>8</v>
      </c>
    </row>
    <row r="271" spans="1:4" x14ac:dyDescent="0.3">
      <c r="A271" t="s">
        <v>22</v>
      </c>
      <c r="B271" t="s">
        <v>82</v>
      </c>
      <c r="C271">
        <v>8589.0400000000009</v>
      </c>
      <c r="D271">
        <v>26</v>
      </c>
    </row>
    <row r="272" spans="1:4" x14ac:dyDescent="0.3">
      <c r="A272" t="s">
        <v>26</v>
      </c>
      <c r="B272" t="s">
        <v>80</v>
      </c>
      <c r="C272">
        <v>8587.2900000000009</v>
      </c>
      <c r="D272">
        <v>57</v>
      </c>
    </row>
    <row r="273" spans="1:4" x14ac:dyDescent="0.3">
      <c r="A273" t="s">
        <v>20</v>
      </c>
      <c r="B273" t="s">
        <v>80</v>
      </c>
      <c r="C273">
        <v>8546.89</v>
      </c>
      <c r="D273">
        <v>8</v>
      </c>
    </row>
    <row r="274" spans="1:4" x14ac:dyDescent="0.3">
      <c r="A274" t="s">
        <v>24</v>
      </c>
      <c r="B274" t="s">
        <v>81</v>
      </c>
      <c r="C274">
        <v>8497.23</v>
      </c>
      <c r="D274">
        <v>73</v>
      </c>
    </row>
    <row r="275" spans="1:4" x14ac:dyDescent="0.3">
      <c r="A275" t="s">
        <v>21</v>
      </c>
      <c r="B275" t="s">
        <v>81</v>
      </c>
      <c r="C275">
        <v>8456.64</v>
      </c>
      <c r="D275">
        <v>82</v>
      </c>
    </row>
    <row r="276" spans="1:4" x14ac:dyDescent="0.3">
      <c r="A276" t="s">
        <v>7</v>
      </c>
      <c r="B276" t="s">
        <v>91</v>
      </c>
      <c r="C276">
        <v>8428.8700000000008</v>
      </c>
      <c r="D276">
        <v>58</v>
      </c>
    </row>
    <row r="277" spans="1:4" x14ac:dyDescent="0.3">
      <c r="A277" t="s">
        <v>31</v>
      </c>
      <c r="B277" t="s">
        <v>79</v>
      </c>
      <c r="C277">
        <v>8383.4</v>
      </c>
      <c r="D277">
        <v>58</v>
      </c>
    </row>
    <row r="278" spans="1:4" x14ac:dyDescent="0.3">
      <c r="A278" t="s">
        <v>25</v>
      </c>
      <c r="B278" t="s">
        <v>80</v>
      </c>
      <c r="C278">
        <v>8378.81</v>
      </c>
      <c r="D278">
        <v>157</v>
      </c>
    </row>
    <row r="279" spans="1:4" x14ac:dyDescent="0.3">
      <c r="A279" t="s">
        <v>15</v>
      </c>
      <c r="B279" t="s">
        <v>86</v>
      </c>
      <c r="C279">
        <v>8346.0499999999993</v>
      </c>
      <c r="D279">
        <v>61</v>
      </c>
    </row>
    <row r="280" spans="1:4" x14ac:dyDescent="0.3">
      <c r="A280" t="s">
        <v>25</v>
      </c>
      <c r="B280" t="s">
        <v>82</v>
      </c>
      <c r="C280">
        <v>8295.36</v>
      </c>
      <c r="D280">
        <v>113</v>
      </c>
    </row>
    <row r="281" spans="1:4" x14ac:dyDescent="0.3">
      <c r="A281" t="s">
        <v>36</v>
      </c>
      <c r="B281" t="s">
        <v>86</v>
      </c>
      <c r="C281">
        <v>8213.7800000000007</v>
      </c>
      <c r="D281">
        <v>6</v>
      </c>
    </row>
    <row r="282" spans="1:4" x14ac:dyDescent="0.3">
      <c r="A282" t="s">
        <v>27</v>
      </c>
      <c r="B282" t="s">
        <v>80</v>
      </c>
      <c r="C282">
        <v>8172.47</v>
      </c>
      <c r="D282">
        <v>77</v>
      </c>
    </row>
    <row r="283" spans="1:4" x14ac:dyDescent="0.3">
      <c r="A283" t="s">
        <v>35</v>
      </c>
      <c r="B283" t="s">
        <v>79</v>
      </c>
      <c r="C283">
        <v>8097.59</v>
      </c>
      <c r="D283">
        <v>53</v>
      </c>
    </row>
    <row r="284" spans="1:4" x14ac:dyDescent="0.3">
      <c r="A284" t="s">
        <v>20</v>
      </c>
      <c r="B284" t="s">
        <v>86</v>
      </c>
      <c r="C284">
        <v>8058</v>
      </c>
      <c r="D284">
        <v>3</v>
      </c>
    </row>
    <row r="285" spans="1:4" x14ac:dyDescent="0.3">
      <c r="A285" t="s">
        <v>17</v>
      </c>
      <c r="B285" t="s">
        <v>89</v>
      </c>
      <c r="C285">
        <v>8037.41</v>
      </c>
      <c r="D285">
        <v>70</v>
      </c>
    </row>
    <row r="286" spans="1:4" x14ac:dyDescent="0.3">
      <c r="A286" t="s">
        <v>30</v>
      </c>
      <c r="B286" t="s">
        <v>82</v>
      </c>
      <c r="C286">
        <v>7989.38</v>
      </c>
      <c r="D286">
        <v>17</v>
      </c>
    </row>
    <row r="287" spans="1:4" x14ac:dyDescent="0.3">
      <c r="A287" t="s">
        <v>35</v>
      </c>
      <c r="B287" t="s">
        <v>78</v>
      </c>
      <c r="C287">
        <v>7954.87</v>
      </c>
      <c r="D287">
        <v>56</v>
      </c>
    </row>
    <row r="288" spans="1:4" x14ac:dyDescent="0.3">
      <c r="A288" t="s">
        <v>51</v>
      </c>
      <c r="B288" t="s">
        <v>77</v>
      </c>
      <c r="C288">
        <v>7949.51</v>
      </c>
      <c r="D288">
        <v>65</v>
      </c>
    </row>
    <row r="289" spans="1:4" x14ac:dyDescent="0.3">
      <c r="A289" t="s">
        <v>27</v>
      </c>
      <c r="B289" t="s">
        <v>81</v>
      </c>
      <c r="C289">
        <v>7906.38</v>
      </c>
      <c r="D289">
        <v>107</v>
      </c>
    </row>
    <row r="290" spans="1:4" x14ac:dyDescent="0.3">
      <c r="A290" t="s">
        <v>12</v>
      </c>
      <c r="B290" t="s">
        <v>89</v>
      </c>
      <c r="C290">
        <v>7870.47</v>
      </c>
      <c r="D290">
        <v>45</v>
      </c>
    </row>
    <row r="291" spans="1:4" x14ac:dyDescent="0.3">
      <c r="A291" t="s">
        <v>14</v>
      </c>
      <c r="B291" t="s">
        <v>88</v>
      </c>
      <c r="C291">
        <v>7869.8</v>
      </c>
      <c r="D291">
        <v>63</v>
      </c>
    </row>
    <row r="292" spans="1:4" x14ac:dyDescent="0.3">
      <c r="A292" t="s">
        <v>14</v>
      </c>
      <c r="B292" t="s">
        <v>85</v>
      </c>
      <c r="C292">
        <v>7863.97</v>
      </c>
      <c r="D292">
        <v>75</v>
      </c>
    </row>
    <row r="293" spans="1:4" x14ac:dyDescent="0.3">
      <c r="A293" t="s">
        <v>23</v>
      </c>
      <c r="B293" t="s">
        <v>82</v>
      </c>
      <c r="C293">
        <v>7741.89</v>
      </c>
      <c r="D293">
        <v>24</v>
      </c>
    </row>
    <row r="294" spans="1:4" x14ac:dyDescent="0.3">
      <c r="A294" t="s">
        <v>5</v>
      </c>
      <c r="B294" t="s">
        <v>94</v>
      </c>
      <c r="C294">
        <v>7736.18</v>
      </c>
      <c r="D294">
        <v>38</v>
      </c>
    </row>
    <row r="295" spans="1:4" x14ac:dyDescent="0.3">
      <c r="A295" t="s">
        <v>8</v>
      </c>
      <c r="B295" t="s">
        <v>96</v>
      </c>
      <c r="C295">
        <v>7714.36</v>
      </c>
      <c r="D295">
        <v>34</v>
      </c>
    </row>
    <row r="296" spans="1:4" x14ac:dyDescent="0.3">
      <c r="A296" t="s">
        <v>34</v>
      </c>
      <c r="B296" t="s">
        <v>79</v>
      </c>
      <c r="C296">
        <v>7678.38</v>
      </c>
      <c r="D296">
        <v>42</v>
      </c>
    </row>
    <row r="297" spans="1:4" x14ac:dyDescent="0.3">
      <c r="A297" t="s">
        <v>10</v>
      </c>
      <c r="B297" t="s">
        <v>88</v>
      </c>
      <c r="C297">
        <v>7619.56</v>
      </c>
      <c r="D297">
        <v>46</v>
      </c>
    </row>
    <row r="298" spans="1:4" x14ac:dyDescent="0.3">
      <c r="A298" t="s">
        <v>11</v>
      </c>
      <c r="B298" t="s">
        <v>91</v>
      </c>
      <c r="C298">
        <v>7560.38</v>
      </c>
      <c r="D298">
        <v>35</v>
      </c>
    </row>
    <row r="299" spans="1:4" x14ac:dyDescent="0.3">
      <c r="A299" t="s">
        <v>31</v>
      </c>
      <c r="B299" t="s">
        <v>80</v>
      </c>
      <c r="C299">
        <v>7497.72</v>
      </c>
      <c r="D299">
        <v>37</v>
      </c>
    </row>
    <row r="300" spans="1:4" x14ac:dyDescent="0.3">
      <c r="A300" t="s">
        <v>53</v>
      </c>
      <c r="B300" t="s">
        <v>77</v>
      </c>
      <c r="C300">
        <v>7490.78</v>
      </c>
      <c r="D300">
        <v>110</v>
      </c>
    </row>
    <row r="301" spans="1:4" x14ac:dyDescent="0.3">
      <c r="A301" t="s">
        <v>11</v>
      </c>
      <c r="B301" t="s">
        <v>89</v>
      </c>
      <c r="C301">
        <v>7467</v>
      </c>
      <c r="D301">
        <v>48</v>
      </c>
    </row>
    <row r="302" spans="1:4" x14ac:dyDescent="0.3">
      <c r="A302" t="s">
        <v>47</v>
      </c>
      <c r="B302" t="s">
        <v>77</v>
      </c>
      <c r="C302">
        <v>7448.94</v>
      </c>
      <c r="D302">
        <v>79</v>
      </c>
    </row>
    <row r="303" spans="1:4" x14ac:dyDescent="0.3">
      <c r="A303" t="s">
        <v>23</v>
      </c>
      <c r="B303" t="s">
        <v>80</v>
      </c>
      <c r="C303">
        <v>7436.73</v>
      </c>
      <c r="D303">
        <v>29</v>
      </c>
    </row>
    <row r="304" spans="1:4" x14ac:dyDescent="0.3">
      <c r="A304" t="s">
        <v>11</v>
      </c>
      <c r="B304" t="s">
        <v>90</v>
      </c>
      <c r="C304">
        <v>7408.52</v>
      </c>
      <c r="D304">
        <v>45</v>
      </c>
    </row>
    <row r="305" spans="1:4" x14ac:dyDescent="0.3">
      <c r="A305" t="s">
        <v>40</v>
      </c>
      <c r="B305" t="s">
        <v>78</v>
      </c>
      <c r="C305">
        <v>7358.34</v>
      </c>
      <c r="D305">
        <v>42</v>
      </c>
    </row>
    <row r="306" spans="1:4" x14ac:dyDescent="0.3">
      <c r="A306" t="s">
        <v>8</v>
      </c>
      <c r="B306" t="s">
        <v>93</v>
      </c>
      <c r="C306">
        <v>7218.07</v>
      </c>
      <c r="D306">
        <v>41</v>
      </c>
    </row>
    <row r="307" spans="1:4" x14ac:dyDescent="0.3">
      <c r="A307" t="s">
        <v>24</v>
      </c>
      <c r="B307" t="s">
        <v>82</v>
      </c>
      <c r="C307">
        <v>7203.65</v>
      </c>
      <c r="D307">
        <v>61</v>
      </c>
    </row>
    <row r="308" spans="1:4" x14ac:dyDescent="0.3">
      <c r="A308" t="s">
        <v>19</v>
      </c>
      <c r="B308" t="s">
        <v>83</v>
      </c>
      <c r="C308">
        <v>7196.15</v>
      </c>
      <c r="D308">
        <v>74</v>
      </c>
    </row>
    <row r="309" spans="1:4" x14ac:dyDescent="0.3">
      <c r="A309" t="s">
        <v>12</v>
      </c>
      <c r="B309" t="s">
        <v>92</v>
      </c>
      <c r="C309">
        <v>7142.65</v>
      </c>
      <c r="D309">
        <v>24</v>
      </c>
    </row>
    <row r="310" spans="1:4" x14ac:dyDescent="0.3">
      <c r="A310" t="s">
        <v>17</v>
      </c>
      <c r="B310" t="s">
        <v>88</v>
      </c>
      <c r="C310">
        <v>7139.43</v>
      </c>
      <c r="D310">
        <v>94</v>
      </c>
    </row>
    <row r="311" spans="1:4" x14ac:dyDescent="0.3">
      <c r="A311" t="s">
        <v>20</v>
      </c>
      <c r="B311" t="s">
        <v>93</v>
      </c>
      <c r="C311">
        <v>7128</v>
      </c>
      <c r="D311">
        <v>4</v>
      </c>
    </row>
    <row r="312" spans="1:4" x14ac:dyDescent="0.3">
      <c r="A312" t="s">
        <v>6</v>
      </c>
      <c r="B312" t="s">
        <v>90</v>
      </c>
      <c r="C312">
        <v>7125.58</v>
      </c>
      <c r="D312">
        <v>56</v>
      </c>
    </row>
    <row r="313" spans="1:4" x14ac:dyDescent="0.3">
      <c r="A313" t="s">
        <v>20</v>
      </c>
      <c r="B313" t="s">
        <v>88</v>
      </c>
      <c r="C313">
        <v>7096.79</v>
      </c>
      <c r="D313">
        <v>6</v>
      </c>
    </row>
    <row r="314" spans="1:4" x14ac:dyDescent="0.3">
      <c r="A314" t="s">
        <v>4</v>
      </c>
      <c r="B314" t="s">
        <v>99</v>
      </c>
      <c r="C314">
        <v>7085.76</v>
      </c>
      <c r="D314">
        <v>23</v>
      </c>
    </row>
    <row r="315" spans="1:4" x14ac:dyDescent="0.3">
      <c r="A315" t="s">
        <v>31</v>
      </c>
      <c r="B315" t="s">
        <v>78</v>
      </c>
      <c r="C315">
        <v>7067.68</v>
      </c>
      <c r="D315">
        <v>51</v>
      </c>
    </row>
    <row r="316" spans="1:4" x14ac:dyDescent="0.3">
      <c r="A316" t="s">
        <v>6</v>
      </c>
      <c r="B316" t="s">
        <v>88</v>
      </c>
      <c r="C316">
        <v>7020.79</v>
      </c>
      <c r="D316">
        <v>68</v>
      </c>
    </row>
    <row r="317" spans="1:4" x14ac:dyDescent="0.3">
      <c r="A317" t="s">
        <v>29</v>
      </c>
      <c r="B317" t="s">
        <v>80</v>
      </c>
      <c r="C317">
        <v>6959.95</v>
      </c>
      <c r="D317">
        <v>56</v>
      </c>
    </row>
    <row r="318" spans="1:4" x14ac:dyDescent="0.3">
      <c r="A318" t="s">
        <v>15</v>
      </c>
      <c r="B318" t="s">
        <v>90</v>
      </c>
      <c r="C318">
        <v>6936.53</v>
      </c>
      <c r="D318">
        <v>34</v>
      </c>
    </row>
    <row r="319" spans="1:4" x14ac:dyDescent="0.3">
      <c r="A319" t="s">
        <v>27</v>
      </c>
      <c r="B319" t="s">
        <v>83</v>
      </c>
      <c r="C319">
        <v>6795.79</v>
      </c>
      <c r="D319">
        <v>70</v>
      </c>
    </row>
    <row r="320" spans="1:4" x14ac:dyDescent="0.3">
      <c r="A320" t="s">
        <v>20</v>
      </c>
      <c r="B320" t="s">
        <v>91</v>
      </c>
      <c r="C320">
        <v>6786.98</v>
      </c>
      <c r="D320">
        <v>5</v>
      </c>
    </row>
    <row r="321" spans="1:4" x14ac:dyDescent="0.3">
      <c r="A321" t="s">
        <v>54</v>
      </c>
      <c r="B321" t="s">
        <v>77</v>
      </c>
      <c r="C321">
        <v>6786.25</v>
      </c>
      <c r="D321">
        <v>32</v>
      </c>
    </row>
    <row r="322" spans="1:4" x14ac:dyDescent="0.3">
      <c r="A322" t="s">
        <v>13</v>
      </c>
      <c r="B322" t="s">
        <v>87</v>
      </c>
      <c r="C322">
        <v>6764.53</v>
      </c>
      <c r="D322">
        <v>57</v>
      </c>
    </row>
    <row r="323" spans="1:4" x14ac:dyDescent="0.3">
      <c r="A323" t="s">
        <v>44</v>
      </c>
      <c r="B323" t="s">
        <v>79</v>
      </c>
      <c r="C323">
        <v>6691.16</v>
      </c>
      <c r="D323">
        <v>24</v>
      </c>
    </row>
    <row r="324" spans="1:4" x14ac:dyDescent="0.3">
      <c r="A324" t="s">
        <v>49</v>
      </c>
      <c r="B324" t="s">
        <v>77</v>
      </c>
      <c r="C324">
        <v>6688.71</v>
      </c>
      <c r="D324">
        <v>82</v>
      </c>
    </row>
    <row r="325" spans="1:4" x14ac:dyDescent="0.3">
      <c r="A325" t="s">
        <v>20</v>
      </c>
      <c r="B325" t="s">
        <v>81</v>
      </c>
      <c r="C325">
        <v>6676.98</v>
      </c>
      <c r="D325">
        <v>4</v>
      </c>
    </row>
    <row r="326" spans="1:4" x14ac:dyDescent="0.3">
      <c r="A326" t="s">
        <v>16</v>
      </c>
      <c r="B326" t="s">
        <v>87</v>
      </c>
      <c r="C326">
        <v>6585.83</v>
      </c>
      <c r="D326">
        <v>47</v>
      </c>
    </row>
    <row r="327" spans="1:4" x14ac:dyDescent="0.3">
      <c r="A327" t="s">
        <v>16</v>
      </c>
      <c r="B327" t="s">
        <v>86</v>
      </c>
      <c r="C327">
        <v>6577.55</v>
      </c>
      <c r="D327">
        <v>60</v>
      </c>
    </row>
    <row r="328" spans="1:4" x14ac:dyDescent="0.3">
      <c r="A328" t="s">
        <v>9</v>
      </c>
      <c r="B328" t="s">
        <v>90</v>
      </c>
      <c r="C328">
        <v>6568.94</v>
      </c>
      <c r="D328">
        <v>54</v>
      </c>
    </row>
    <row r="329" spans="1:4" x14ac:dyDescent="0.3">
      <c r="A329" t="s">
        <v>47</v>
      </c>
      <c r="B329" t="s">
        <v>78</v>
      </c>
      <c r="C329">
        <v>6503.25</v>
      </c>
      <c r="D329">
        <v>29</v>
      </c>
    </row>
    <row r="330" spans="1:4" x14ac:dyDescent="0.3">
      <c r="A330" t="s">
        <v>26</v>
      </c>
      <c r="B330" t="s">
        <v>81</v>
      </c>
      <c r="C330">
        <v>6483.52</v>
      </c>
      <c r="D330">
        <v>41</v>
      </c>
    </row>
    <row r="331" spans="1:4" x14ac:dyDescent="0.3">
      <c r="A331" t="s">
        <v>29</v>
      </c>
      <c r="B331" t="s">
        <v>81</v>
      </c>
      <c r="C331">
        <v>6418.05</v>
      </c>
      <c r="D331">
        <v>49</v>
      </c>
    </row>
    <row r="332" spans="1:4" x14ac:dyDescent="0.3">
      <c r="A332" t="s">
        <v>23</v>
      </c>
      <c r="B332" t="s">
        <v>87</v>
      </c>
      <c r="C332">
        <v>6410.5</v>
      </c>
      <c r="D332">
        <v>11</v>
      </c>
    </row>
    <row r="333" spans="1:4" x14ac:dyDescent="0.3">
      <c r="A333" t="s">
        <v>30</v>
      </c>
      <c r="B333" t="s">
        <v>79</v>
      </c>
      <c r="C333">
        <v>6376.78</v>
      </c>
      <c r="D333">
        <v>19</v>
      </c>
    </row>
    <row r="334" spans="1:4" x14ac:dyDescent="0.3">
      <c r="A334" t="s">
        <v>55</v>
      </c>
      <c r="B334" t="s">
        <v>77</v>
      </c>
      <c r="C334">
        <v>6342.16</v>
      </c>
      <c r="D334">
        <v>109</v>
      </c>
    </row>
    <row r="335" spans="1:4" x14ac:dyDescent="0.3">
      <c r="A335" t="s">
        <v>24</v>
      </c>
      <c r="B335" t="s">
        <v>83</v>
      </c>
      <c r="C335">
        <v>6328.45</v>
      </c>
      <c r="D335">
        <v>47</v>
      </c>
    </row>
    <row r="336" spans="1:4" x14ac:dyDescent="0.3">
      <c r="A336" t="s">
        <v>42</v>
      </c>
      <c r="B336" t="s">
        <v>79</v>
      </c>
      <c r="C336">
        <v>6267.15</v>
      </c>
      <c r="D336">
        <v>36</v>
      </c>
    </row>
    <row r="337" spans="1:4" x14ac:dyDescent="0.3">
      <c r="A337" t="s">
        <v>25</v>
      </c>
      <c r="B337" t="s">
        <v>83</v>
      </c>
      <c r="C337">
        <v>6252.13</v>
      </c>
      <c r="D337">
        <v>98</v>
      </c>
    </row>
    <row r="338" spans="1:4" x14ac:dyDescent="0.3">
      <c r="A338" t="s">
        <v>5</v>
      </c>
      <c r="B338" t="s">
        <v>92</v>
      </c>
      <c r="C338">
        <v>6251.9</v>
      </c>
      <c r="D338">
        <v>29</v>
      </c>
    </row>
    <row r="339" spans="1:4" x14ac:dyDescent="0.3">
      <c r="A339" t="s">
        <v>11</v>
      </c>
      <c r="B339" t="s">
        <v>92</v>
      </c>
      <c r="C339">
        <v>6163.88</v>
      </c>
      <c r="D339">
        <v>26</v>
      </c>
    </row>
    <row r="340" spans="1:4" x14ac:dyDescent="0.3">
      <c r="A340" t="s">
        <v>17</v>
      </c>
      <c r="B340" t="s">
        <v>85</v>
      </c>
      <c r="C340">
        <v>6153.95</v>
      </c>
      <c r="D340">
        <v>114</v>
      </c>
    </row>
    <row r="341" spans="1:4" x14ac:dyDescent="0.3">
      <c r="A341" t="s">
        <v>32</v>
      </c>
      <c r="B341" t="s">
        <v>80</v>
      </c>
      <c r="C341">
        <v>6141.38</v>
      </c>
      <c r="D341">
        <v>44</v>
      </c>
    </row>
    <row r="342" spans="1:4" x14ac:dyDescent="0.3">
      <c r="A342" t="s">
        <v>13</v>
      </c>
      <c r="B342" t="s">
        <v>88</v>
      </c>
      <c r="C342">
        <v>6135.84</v>
      </c>
      <c r="D342">
        <v>46</v>
      </c>
    </row>
    <row r="343" spans="1:4" x14ac:dyDescent="0.3">
      <c r="A343" t="s">
        <v>17</v>
      </c>
      <c r="B343" t="s">
        <v>84</v>
      </c>
      <c r="C343">
        <v>6123.52</v>
      </c>
      <c r="D343">
        <v>84</v>
      </c>
    </row>
    <row r="344" spans="1:4" x14ac:dyDescent="0.3">
      <c r="A344" t="s">
        <v>27</v>
      </c>
      <c r="B344" t="s">
        <v>82</v>
      </c>
      <c r="C344">
        <v>6100.96</v>
      </c>
      <c r="D344">
        <v>74</v>
      </c>
    </row>
    <row r="345" spans="1:4" x14ac:dyDescent="0.3">
      <c r="A345" t="s">
        <v>20</v>
      </c>
      <c r="B345" t="s">
        <v>82</v>
      </c>
      <c r="C345">
        <v>6069.98</v>
      </c>
      <c r="D345">
        <v>5</v>
      </c>
    </row>
    <row r="346" spans="1:4" x14ac:dyDescent="0.3">
      <c r="A346" t="s">
        <v>29</v>
      </c>
      <c r="B346" t="s">
        <v>82</v>
      </c>
      <c r="C346">
        <v>5926.77</v>
      </c>
      <c r="D346">
        <v>35</v>
      </c>
    </row>
    <row r="347" spans="1:4" x14ac:dyDescent="0.3">
      <c r="A347" t="s">
        <v>14</v>
      </c>
      <c r="B347" t="s">
        <v>90</v>
      </c>
      <c r="C347">
        <v>5857.16</v>
      </c>
      <c r="D347">
        <v>39</v>
      </c>
    </row>
    <row r="348" spans="1:4" x14ac:dyDescent="0.3">
      <c r="A348" t="s">
        <v>32</v>
      </c>
      <c r="B348" t="s">
        <v>81</v>
      </c>
      <c r="C348">
        <v>5824.3</v>
      </c>
      <c r="D348">
        <v>42</v>
      </c>
    </row>
    <row r="349" spans="1:4" x14ac:dyDescent="0.3">
      <c r="A349" t="s">
        <v>21</v>
      </c>
      <c r="B349" t="s">
        <v>83</v>
      </c>
      <c r="C349">
        <v>5823.67</v>
      </c>
      <c r="D349">
        <v>54</v>
      </c>
    </row>
    <row r="350" spans="1:4" x14ac:dyDescent="0.3">
      <c r="A350" t="s">
        <v>9</v>
      </c>
      <c r="B350" t="s">
        <v>92</v>
      </c>
      <c r="C350">
        <v>5819.66</v>
      </c>
      <c r="D350">
        <v>45</v>
      </c>
    </row>
    <row r="351" spans="1:4" x14ac:dyDescent="0.3">
      <c r="A351" t="s">
        <v>32</v>
      </c>
      <c r="B351" t="s">
        <v>79</v>
      </c>
      <c r="C351">
        <v>5814.42</v>
      </c>
      <c r="D351">
        <v>85</v>
      </c>
    </row>
    <row r="352" spans="1:4" x14ac:dyDescent="0.3">
      <c r="A352" t="s">
        <v>6</v>
      </c>
      <c r="B352" t="s">
        <v>92</v>
      </c>
      <c r="C352">
        <v>5746.71</v>
      </c>
      <c r="D352">
        <v>57</v>
      </c>
    </row>
    <row r="353" spans="1:4" x14ac:dyDescent="0.3">
      <c r="A353" t="s">
        <v>13</v>
      </c>
      <c r="B353" t="s">
        <v>89</v>
      </c>
      <c r="C353">
        <v>5718.42</v>
      </c>
      <c r="D353">
        <v>27</v>
      </c>
    </row>
    <row r="354" spans="1:4" x14ac:dyDescent="0.3">
      <c r="A354" t="s">
        <v>11</v>
      </c>
      <c r="B354" t="s">
        <v>97</v>
      </c>
      <c r="C354">
        <v>5686.67</v>
      </c>
      <c r="D354">
        <v>17</v>
      </c>
    </row>
    <row r="355" spans="1:4" x14ac:dyDescent="0.3">
      <c r="A355" t="s">
        <v>7</v>
      </c>
      <c r="B355" t="s">
        <v>94</v>
      </c>
      <c r="C355">
        <v>5675.69</v>
      </c>
      <c r="D355">
        <v>31</v>
      </c>
    </row>
    <row r="356" spans="1:4" x14ac:dyDescent="0.3">
      <c r="A356" t="s">
        <v>26</v>
      </c>
      <c r="B356" t="s">
        <v>87</v>
      </c>
      <c r="C356">
        <v>5651.24</v>
      </c>
      <c r="D356">
        <v>20</v>
      </c>
    </row>
    <row r="357" spans="1:4" x14ac:dyDescent="0.3">
      <c r="A357" t="s">
        <v>38</v>
      </c>
      <c r="B357" t="s">
        <v>79</v>
      </c>
      <c r="C357">
        <v>5627.09</v>
      </c>
      <c r="D357">
        <v>33</v>
      </c>
    </row>
    <row r="358" spans="1:4" x14ac:dyDescent="0.3">
      <c r="A358" t="s">
        <v>33</v>
      </c>
      <c r="B358" t="s">
        <v>87</v>
      </c>
      <c r="C358">
        <v>5611.92</v>
      </c>
      <c r="D358">
        <v>5</v>
      </c>
    </row>
    <row r="359" spans="1:4" x14ac:dyDescent="0.3">
      <c r="A359" t="s">
        <v>50</v>
      </c>
      <c r="B359" t="s">
        <v>78</v>
      </c>
      <c r="C359">
        <v>5604.82</v>
      </c>
      <c r="D359">
        <v>41</v>
      </c>
    </row>
    <row r="360" spans="1:4" x14ac:dyDescent="0.3">
      <c r="A360" t="s">
        <v>13</v>
      </c>
      <c r="B360" t="s">
        <v>93</v>
      </c>
      <c r="C360">
        <v>5590.01</v>
      </c>
      <c r="D360">
        <v>14</v>
      </c>
    </row>
    <row r="361" spans="1:4" x14ac:dyDescent="0.3">
      <c r="A361" t="s">
        <v>28</v>
      </c>
      <c r="B361" t="s">
        <v>80</v>
      </c>
      <c r="C361">
        <v>5578.65</v>
      </c>
      <c r="D361">
        <v>35</v>
      </c>
    </row>
    <row r="362" spans="1:4" x14ac:dyDescent="0.3">
      <c r="A362" t="s">
        <v>19</v>
      </c>
      <c r="B362" t="s">
        <v>86</v>
      </c>
      <c r="C362">
        <v>5503.36</v>
      </c>
      <c r="D362">
        <v>47</v>
      </c>
    </row>
    <row r="363" spans="1:4" x14ac:dyDescent="0.3">
      <c r="A363" t="s">
        <v>11</v>
      </c>
      <c r="B363" t="s">
        <v>93</v>
      </c>
      <c r="C363">
        <v>5458.16</v>
      </c>
      <c r="D363">
        <v>22</v>
      </c>
    </row>
    <row r="364" spans="1:4" x14ac:dyDescent="0.3">
      <c r="A364" t="s">
        <v>5</v>
      </c>
      <c r="B364" t="s">
        <v>98</v>
      </c>
      <c r="C364">
        <v>5446.89</v>
      </c>
      <c r="D364">
        <v>27</v>
      </c>
    </row>
    <row r="365" spans="1:4" x14ac:dyDescent="0.3">
      <c r="A365" t="s">
        <v>10</v>
      </c>
      <c r="B365" t="s">
        <v>87</v>
      </c>
      <c r="C365">
        <v>5380.52</v>
      </c>
      <c r="D365">
        <v>55</v>
      </c>
    </row>
    <row r="366" spans="1:4" x14ac:dyDescent="0.3">
      <c r="A366" t="s">
        <v>17</v>
      </c>
      <c r="B366" t="s">
        <v>95</v>
      </c>
      <c r="C366">
        <v>5303.29</v>
      </c>
      <c r="D366">
        <v>22</v>
      </c>
    </row>
    <row r="367" spans="1:4" x14ac:dyDescent="0.3">
      <c r="A367" t="s">
        <v>12</v>
      </c>
      <c r="B367" t="s">
        <v>91</v>
      </c>
      <c r="C367">
        <v>5291.16</v>
      </c>
      <c r="D367">
        <v>38</v>
      </c>
    </row>
    <row r="368" spans="1:4" x14ac:dyDescent="0.3">
      <c r="A368" t="s">
        <v>8</v>
      </c>
      <c r="B368" t="s">
        <v>94</v>
      </c>
      <c r="C368">
        <v>5276.15</v>
      </c>
      <c r="D368">
        <v>36</v>
      </c>
    </row>
    <row r="369" spans="1:4" x14ac:dyDescent="0.3">
      <c r="A369" t="s">
        <v>15</v>
      </c>
      <c r="B369" t="s">
        <v>91</v>
      </c>
      <c r="C369">
        <v>5275.28</v>
      </c>
      <c r="D369">
        <v>27</v>
      </c>
    </row>
    <row r="370" spans="1:4" x14ac:dyDescent="0.3">
      <c r="A370" t="s">
        <v>23</v>
      </c>
      <c r="B370" t="s">
        <v>86</v>
      </c>
      <c r="C370">
        <v>5247.38</v>
      </c>
      <c r="D370">
        <v>19</v>
      </c>
    </row>
    <row r="371" spans="1:4" x14ac:dyDescent="0.3">
      <c r="A371" t="s">
        <v>18</v>
      </c>
      <c r="B371" t="s">
        <v>86</v>
      </c>
      <c r="C371">
        <v>5172.8</v>
      </c>
      <c r="D371">
        <v>24</v>
      </c>
    </row>
    <row r="372" spans="1:4" x14ac:dyDescent="0.3">
      <c r="A372" t="s">
        <v>7</v>
      </c>
      <c r="B372" t="s">
        <v>98</v>
      </c>
      <c r="C372">
        <v>5144.32</v>
      </c>
      <c r="D372">
        <v>23</v>
      </c>
    </row>
    <row r="373" spans="1:4" x14ac:dyDescent="0.3">
      <c r="A373" t="s">
        <v>13</v>
      </c>
      <c r="B373" t="s">
        <v>92</v>
      </c>
      <c r="C373">
        <v>5095.07</v>
      </c>
      <c r="D373">
        <v>20</v>
      </c>
    </row>
    <row r="374" spans="1:4" x14ac:dyDescent="0.3">
      <c r="A374" t="s">
        <v>22</v>
      </c>
      <c r="B374" t="s">
        <v>88</v>
      </c>
      <c r="C374">
        <v>5043.29</v>
      </c>
      <c r="D374">
        <v>8</v>
      </c>
    </row>
    <row r="375" spans="1:4" x14ac:dyDescent="0.3">
      <c r="A375" t="s">
        <v>21</v>
      </c>
      <c r="B375" t="s">
        <v>84</v>
      </c>
      <c r="C375">
        <v>5037.71</v>
      </c>
      <c r="D375">
        <v>35</v>
      </c>
    </row>
    <row r="376" spans="1:4" x14ac:dyDescent="0.3">
      <c r="A376" t="s">
        <v>30</v>
      </c>
      <c r="B376" t="s">
        <v>81</v>
      </c>
      <c r="C376">
        <v>5009.82</v>
      </c>
      <c r="D376">
        <v>13</v>
      </c>
    </row>
    <row r="377" spans="1:4" x14ac:dyDescent="0.3">
      <c r="A377" t="s">
        <v>17</v>
      </c>
      <c r="B377" t="s">
        <v>91</v>
      </c>
      <c r="C377">
        <v>4977.03</v>
      </c>
      <c r="D377">
        <v>59</v>
      </c>
    </row>
    <row r="378" spans="1:4" x14ac:dyDescent="0.3">
      <c r="A378" t="s">
        <v>28</v>
      </c>
      <c r="B378" t="s">
        <v>82</v>
      </c>
      <c r="C378">
        <v>4976.8</v>
      </c>
      <c r="D378">
        <v>21</v>
      </c>
    </row>
    <row r="379" spans="1:4" x14ac:dyDescent="0.3">
      <c r="A379" t="s">
        <v>15</v>
      </c>
      <c r="B379" t="s">
        <v>87</v>
      </c>
      <c r="C379">
        <v>4939.41</v>
      </c>
      <c r="D379">
        <v>41</v>
      </c>
    </row>
    <row r="380" spans="1:4" x14ac:dyDescent="0.3">
      <c r="A380" t="s">
        <v>33</v>
      </c>
      <c r="B380" t="s">
        <v>81</v>
      </c>
      <c r="C380">
        <v>4903.53</v>
      </c>
      <c r="D380">
        <v>12</v>
      </c>
    </row>
    <row r="381" spans="1:4" x14ac:dyDescent="0.3">
      <c r="A381" t="s">
        <v>19</v>
      </c>
      <c r="B381" t="s">
        <v>84</v>
      </c>
      <c r="C381">
        <v>4853.09</v>
      </c>
      <c r="D381">
        <v>45</v>
      </c>
    </row>
    <row r="382" spans="1:4" x14ac:dyDescent="0.3">
      <c r="A382" t="s">
        <v>4</v>
      </c>
      <c r="B382" t="s">
        <v>98</v>
      </c>
      <c r="C382">
        <v>4798.99</v>
      </c>
      <c r="D382">
        <v>29</v>
      </c>
    </row>
    <row r="383" spans="1:4" x14ac:dyDescent="0.3">
      <c r="A383" t="s">
        <v>39</v>
      </c>
      <c r="B383" t="s">
        <v>82</v>
      </c>
      <c r="C383">
        <v>4754.8999999999996</v>
      </c>
      <c r="D383">
        <v>4</v>
      </c>
    </row>
    <row r="384" spans="1:4" x14ac:dyDescent="0.3">
      <c r="A384" t="s">
        <v>18</v>
      </c>
      <c r="B384" t="s">
        <v>88</v>
      </c>
      <c r="C384">
        <v>4716.76</v>
      </c>
      <c r="D384">
        <v>22</v>
      </c>
    </row>
    <row r="385" spans="1:4" x14ac:dyDescent="0.3">
      <c r="A385" t="s">
        <v>21</v>
      </c>
      <c r="B385" t="s">
        <v>85</v>
      </c>
      <c r="C385">
        <v>4692.63</v>
      </c>
      <c r="D385">
        <v>25</v>
      </c>
    </row>
    <row r="386" spans="1:4" x14ac:dyDescent="0.3">
      <c r="A386" t="s">
        <v>39</v>
      </c>
      <c r="B386" t="s">
        <v>79</v>
      </c>
      <c r="C386">
        <v>4668.38</v>
      </c>
      <c r="D386">
        <v>10</v>
      </c>
    </row>
    <row r="387" spans="1:4" x14ac:dyDescent="0.3">
      <c r="A387" t="s">
        <v>10</v>
      </c>
      <c r="B387" t="s">
        <v>89</v>
      </c>
      <c r="C387">
        <v>4660.21</v>
      </c>
      <c r="D387">
        <v>31</v>
      </c>
    </row>
    <row r="388" spans="1:4" x14ac:dyDescent="0.3">
      <c r="A388" t="s">
        <v>15</v>
      </c>
      <c r="B388" t="s">
        <v>92</v>
      </c>
      <c r="C388">
        <v>4610.22</v>
      </c>
      <c r="D388">
        <v>28</v>
      </c>
    </row>
    <row r="389" spans="1:4" x14ac:dyDescent="0.3">
      <c r="A389" t="s">
        <v>7</v>
      </c>
      <c r="B389" t="s">
        <v>93</v>
      </c>
      <c r="C389">
        <v>4604.54</v>
      </c>
      <c r="D389">
        <v>31</v>
      </c>
    </row>
    <row r="390" spans="1:4" x14ac:dyDescent="0.3">
      <c r="A390" t="s">
        <v>28</v>
      </c>
      <c r="B390" t="s">
        <v>83</v>
      </c>
      <c r="C390">
        <v>4594.7</v>
      </c>
      <c r="D390">
        <v>26</v>
      </c>
    </row>
    <row r="391" spans="1:4" x14ac:dyDescent="0.3">
      <c r="A391" t="s">
        <v>19</v>
      </c>
      <c r="B391" t="s">
        <v>85</v>
      </c>
      <c r="C391">
        <v>4579.82</v>
      </c>
      <c r="D391">
        <v>43</v>
      </c>
    </row>
    <row r="392" spans="1:4" x14ac:dyDescent="0.3">
      <c r="A392" t="s">
        <v>12</v>
      </c>
      <c r="B392" t="s">
        <v>96</v>
      </c>
      <c r="C392">
        <v>4578.54</v>
      </c>
      <c r="D392">
        <v>21</v>
      </c>
    </row>
    <row r="393" spans="1:4" x14ac:dyDescent="0.3">
      <c r="A393" t="s">
        <v>9</v>
      </c>
      <c r="B393" t="s">
        <v>91</v>
      </c>
      <c r="C393">
        <v>4570.3599999999997</v>
      </c>
      <c r="D393">
        <v>40</v>
      </c>
    </row>
    <row r="394" spans="1:4" x14ac:dyDescent="0.3">
      <c r="A394" t="s">
        <v>5</v>
      </c>
      <c r="B394" t="s">
        <v>99</v>
      </c>
      <c r="C394">
        <v>4553.2700000000004</v>
      </c>
      <c r="D394">
        <v>14</v>
      </c>
    </row>
    <row r="395" spans="1:4" x14ac:dyDescent="0.3">
      <c r="A395" t="s">
        <v>15</v>
      </c>
      <c r="B395" t="s">
        <v>88</v>
      </c>
      <c r="C395">
        <v>4548.24</v>
      </c>
      <c r="D395">
        <v>30</v>
      </c>
    </row>
    <row r="396" spans="1:4" x14ac:dyDescent="0.3">
      <c r="A396" t="s">
        <v>19</v>
      </c>
      <c r="B396" t="s">
        <v>87</v>
      </c>
      <c r="C396">
        <v>4526.59</v>
      </c>
      <c r="D396">
        <v>47</v>
      </c>
    </row>
    <row r="397" spans="1:4" x14ac:dyDescent="0.3">
      <c r="A397" t="s">
        <v>17</v>
      </c>
      <c r="B397" t="s">
        <v>96</v>
      </c>
      <c r="C397">
        <v>4508.1499999999996</v>
      </c>
      <c r="D397">
        <v>26</v>
      </c>
    </row>
    <row r="398" spans="1:4" x14ac:dyDescent="0.3">
      <c r="A398" t="s">
        <v>16</v>
      </c>
      <c r="B398" t="s">
        <v>89</v>
      </c>
      <c r="C398">
        <v>4480.28</v>
      </c>
      <c r="D398">
        <v>33</v>
      </c>
    </row>
    <row r="399" spans="1:4" x14ac:dyDescent="0.3">
      <c r="A399" t="s">
        <v>41</v>
      </c>
      <c r="B399" t="s">
        <v>79</v>
      </c>
      <c r="C399">
        <v>4470.5200000000004</v>
      </c>
      <c r="D399">
        <v>50</v>
      </c>
    </row>
    <row r="400" spans="1:4" x14ac:dyDescent="0.3">
      <c r="A400" t="s">
        <v>9</v>
      </c>
      <c r="B400" t="s">
        <v>93</v>
      </c>
      <c r="C400">
        <v>4441.71</v>
      </c>
      <c r="D400">
        <v>31</v>
      </c>
    </row>
    <row r="401" spans="1:4" x14ac:dyDescent="0.3">
      <c r="A401" t="s">
        <v>16</v>
      </c>
      <c r="B401" t="s">
        <v>91</v>
      </c>
      <c r="C401">
        <v>4436.58</v>
      </c>
      <c r="D401">
        <v>30</v>
      </c>
    </row>
    <row r="402" spans="1:4" x14ac:dyDescent="0.3">
      <c r="A402" t="s">
        <v>26</v>
      </c>
      <c r="B402" t="s">
        <v>82</v>
      </c>
      <c r="C402">
        <v>4387.53</v>
      </c>
      <c r="D402">
        <v>33</v>
      </c>
    </row>
    <row r="403" spans="1:4" x14ac:dyDescent="0.3">
      <c r="A403" t="s">
        <v>37</v>
      </c>
      <c r="B403" t="s">
        <v>79</v>
      </c>
      <c r="C403">
        <v>4379.1099999999997</v>
      </c>
      <c r="D403">
        <v>18</v>
      </c>
    </row>
    <row r="404" spans="1:4" x14ac:dyDescent="0.3">
      <c r="A404" t="s">
        <v>15</v>
      </c>
      <c r="B404" t="s">
        <v>94</v>
      </c>
      <c r="C404">
        <v>4293.09</v>
      </c>
      <c r="D404">
        <v>11</v>
      </c>
    </row>
    <row r="405" spans="1:4" x14ac:dyDescent="0.3">
      <c r="A405" t="s">
        <v>24</v>
      </c>
      <c r="B405" t="s">
        <v>87</v>
      </c>
      <c r="C405">
        <v>4267.62</v>
      </c>
      <c r="D405">
        <v>18</v>
      </c>
    </row>
    <row r="406" spans="1:4" x14ac:dyDescent="0.3">
      <c r="A406" t="s">
        <v>26</v>
      </c>
      <c r="B406" t="s">
        <v>83</v>
      </c>
      <c r="C406">
        <v>4247.1400000000003</v>
      </c>
      <c r="D406">
        <v>33</v>
      </c>
    </row>
    <row r="407" spans="1:4" x14ac:dyDescent="0.3">
      <c r="A407" t="s">
        <v>56</v>
      </c>
      <c r="B407" t="s">
        <v>77</v>
      </c>
      <c r="C407">
        <v>4245.28</v>
      </c>
      <c r="D407">
        <v>48</v>
      </c>
    </row>
    <row r="408" spans="1:4" x14ac:dyDescent="0.3">
      <c r="A408" t="s">
        <v>9</v>
      </c>
      <c r="B408" t="s">
        <v>97</v>
      </c>
      <c r="C408">
        <v>4231.3900000000003</v>
      </c>
      <c r="D408">
        <v>19</v>
      </c>
    </row>
    <row r="409" spans="1:4" x14ac:dyDescent="0.3">
      <c r="A409" t="s">
        <v>12</v>
      </c>
      <c r="B409" t="s">
        <v>95</v>
      </c>
      <c r="C409">
        <v>4222.6099999999997</v>
      </c>
      <c r="D409">
        <v>17</v>
      </c>
    </row>
    <row r="410" spans="1:4" x14ac:dyDescent="0.3">
      <c r="A410" t="s">
        <v>8</v>
      </c>
      <c r="B410" t="s">
        <v>98</v>
      </c>
      <c r="C410">
        <v>4147.22</v>
      </c>
      <c r="D410">
        <v>18</v>
      </c>
    </row>
    <row r="411" spans="1:4" x14ac:dyDescent="0.3">
      <c r="A411" t="s">
        <v>41</v>
      </c>
      <c r="B411" t="s">
        <v>78</v>
      </c>
      <c r="C411">
        <v>4144.2700000000004</v>
      </c>
      <c r="D411">
        <v>52</v>
      </c>
    </row>
    <row r="412" spans="1:4" x14ac:dyDescent="0.3">
      <c r="A412" t="s">
        <v>12</v>
      </c>
      <c r="B412" t="s">
        <v>93</v>
      </c>
      <c r="C412">
        <v>4141.2700000000004</v>
      </c>
      <c r="D412">
        <v>22</v>
      </c>
    </row>
    <row r="413" spans="1:4" x14ac:dyDescent="0.3">
      <c r="A413" t="s">
        <v>36</v>
      </c>
      <c r="B413" t="s">
        <v>83</v>
      </c>
      <c r="C413">
        <v>4131.82</v>
      </c>
      <c r="D413">
        <v>8</v>
      </c>
    </row>
    <row r="414" spans="1:4" x14ac:dyDescent="0.3">
      <c r="A414" t="s">
        <v>18</v>
      </c>
      <c r="B414" t="s">
        <v>89</v>
      </c>
      <c r="C414">
        <v>4115.24</v>
      </c>
      <c r="D414">
        <v>21</v>
      </c>
    </row>
    <row r="415" spans="1:4" x14ac:dyDescent="0.3">
      <c r="A415" t="s">
        <v>7</v>
      </c>
      <c r="B415" t="s">
        <v>95</v>
      </c>
      <c r="C415">
        <v>4101.37</v>
      </c>
      <c r="D415">
        <v>20</v>
      </c>
    </row>
    <row r="416" spans="1:4" x14ac:dyDescent="0.3">
      <c r="A416" t="s">
        <v>8</v>
      </c>
      <c r="B416" t="s">
        <v>97</v>
      </c>
      <c r="C416">
        <v>4052.9</v>
      </c>
      <c r="D416">
        <v>33</v>
      </c>
    </row>
    <row r="417" spans="1:4" x14ac:dyDescent="0.3">
      <c r="A417" t="s">
        <v>14</v>
      </c>
      <c r="B417" t="s">
        <v>92</v>
      </c>
      <c r="C417">
        <v>3974.57</v>
      </c>
      <c r="D417">
        <v>34</v>
      </c>
    </row>
    <row r="418" spans="1:4" x14ac:dyDescent="0.3">
      <c r="A418" t="s">
        <v>6</v>
      </c>
      <c r="B418" t="s">
        <v>91</v>
      </c>
      <c r="C418">
        <v>3964.63</v>
      </c>
      <c r="D418">
        <v>32</v>
      </c>
    </row>
    <row r="419" spans="1:4" x14ac:dyDescent="0.3">
      <c r="A419" t="s">
        <v>39</v>
      </c>
      <c r="B419" t="s">
        <v>78</v>
      </c>
      <c r="C419">
        <v>3911.09</v>
      </c>
      <c r="D419">
        <v>7</v>
      </c>
    </row>
    <row r="420" spans="1:4" x14ac:dyDescent="0.3">
      <c r="A420" t="s">
        <v>40</v>
      </c>
      <c r="B420" t="s">
        <v>79</v>
      </c>
      <c r="C420">
        <v>3886.46</v>
      </c>
      <c r="D420">
        <v>27</v>
      </c>
    </row>
    <row r="421" spans="1:4" x14ac:dyDescent="0.3">
      <c r="A421" t="s">
        <v>31</v>
      </c>
      <c r="B421" t="s">
        <v>82</v>
      </c>
      <c r="C421">
        <v>3878.12</v>
      </c>
      <c r="D421">
        <v>22</v>
      </c>
    </row>
    <row r="422" spans="1:4" x14ac:dyDescent="0.3">
      <c r="A422" t="s">
        <v>22</v>
      </c>
      <c r="B422" t="s">
        <v>83</v>
      </c>
      <c r="C422">
        <v>3871.96</v>
      </c>
      <c r="D422">
        <v>18</v>
      </c>
    </row>
    <row r="423" spans="1:4" x14ac:dyDescent="0.3">
      <c r="A423" t="s">
        <v>14</v>
      </c>
      <c r="B423" t="s">
        <v>89</v>
      </c>
      <c r="C423">
        <v>3836.62</v>
      </c>
      <c r="D423">
        <v>29</v>
      </c>
    </row>
    <row r="424" spans="1:4" x14ac:dyDescent="0.3">
      <c r="A424" t="s">
        <v>23</v>
      </c>
      <c r="B424" t="s">
        <v>90</v>
      </c>
      <c r="C424">
        <v>3818.7</v>
      </c>
      <c r="D424">
        <v>5</v>
      </c>
    </row>
    <row r="425" spans="1:4" x14ac:dyDescent="0.3">
      <c r="A425" t="s">
        <v>14</v>
      </c>
      <c r="B425" t="s">
        <v>94</v>
      </c>
      <c r="C425">
        <v>3808.8</v>
      </c>
      <c r="D425">
        <v>28</v>
      </c>
    </row>
    <row r="426" spans="1:4" x14ac:dyDescent="0.3">
      <c r="A426" t="s">
        <v>11</v>
      </c>
      <c r="B426" t="s">
        <v>95</v>
      </c>
      <c r="C426">
        <v>3800.28</v>
      </c>
      <c r="D426">
        <v>21</v>
      </c>
    </row>
    <row r="427" spans="1:4" x14ac:dyDescent="0.3">
      <c r="A427" t="s">
        <v>6</v>
      </c>
      <c r="B427" t="s">
        <v>94</v>
      </c>
      <c r="C427">
        <v>3777.75</v>
      </c>
      <c r="D427">
        <v>24</v>
      </c>
    </row>
    <row r="428" spans="1:4" x14ac:dyDescent="0.3">
      <c r="A428" t="s">
        <v>25</v>
      </c>
      <c r="B428" t="s">
        <v>88</v>
      </c>
      <c r="C428">
        <v>3768.9</v>
      </c>
      <c r="D428">
        <v>41</v>
      </c>
    </row>
    <row r="429" spans="1:4" x14ac:dyDescent="0.3">
      <c r="A429" t="s">
        <v>7</v>
      </c>
      <c r="B429" t="s">
        <v>96</v>
      </c>
      <c r="C429">
        <v>3747.68</v>
      </c>
      <c r="D429">
        <v>32</v>
      </c>
    </row>
    <row r="430" spans="1:4" x14ac:dyDescent="0.3">
      <c r="A430" t="s">
        <v>13</v>
      </c>
      <c r="B430" t="s">
        <v>94</v>
      </c>
      <c r="C430">
        <v>3732.85</v>
      </c>
      <c r="D430">
        <v>17</v>
      </c>
    </row>
    <row r="431" spans="1:4" x14ac:dyDescent="0.3">
      <c r="A431" t="s">
        <v>18</v>
      </c>
      <c r="B431" t="s">
        <v>90</v>
      </c>
      <c r="C431">
        <v>3720.77</v>
      </c>
      <c r="D431">
        <v>14</v>
      </c>
    </row>
    <row r="432" spans="1:4" x14ac:dyDescent="0.3">
      <c r="A432" t="s">
        <v>25</v>
      </c>
      <c r="B432" t="s">
        <v>86</v>
      </c>
      <c r="C432">
        <v>3716.14</v>
      </c>
      <c r="D432">
        <v>73</v>
      </c>
    </row>
    <row r="433" spans="1:4" x14ac:dyDescent="0.3">
      <c r="A433" t="s">
        <v>18</v>
      </c>
      <c r="B433" t="s">
        <v>91</v>
      </c>
      <c r="C433">
        <v>3715.64</v>
      </c>
      <c r="D433">
        <v>14</v>
      </c>
    </row>
    <row r="434" spans="1:4" x14ac:dyDescent="0.3">
      <c r="A434" t="s">
        <v>9</v>
      </c>
      <c r="B434" t="s">
        <v>96</v>
      </c>
      <c r="C434">
        <v>3713.29</v>
      </c>
      <c r="D434">
        <v>25</v>
      </c>
    </row>
    <row r="435" spans="1:4" x14ac:dyDescent="0.3">
      <c r="A435" t="s">
        <v>57</v>
      </c>
      <c r="B435" t="s">
        <v>77</v>
      </c>
      <c r="C435">
        <v>3670.75</v>
      </c>
      <c r="D435">
        <v>54</v>
      </c>
    </row>
    <row r="436" spans="1:4" x14ac:dyDescent="0.3">
      <c r="A436" t="s">
        <v>26</v>
      </c>
      <c r="B436" t="s">
        <v>88</v>
      </c>
      <c r="C436">
        <v>3664.05</v>
      </c>
      <c r="D436">
        <v>16</v>
      </c>
    </row>
    <row r="437" spans="1:4" x14ac:dyDescent="0.3">
      <c r="A437" t="s">
        <v>10</v>
      </c>
      <c r="B437" t="s">
        <v>90</v>
      </c>
      <c r="C437">
        <v>3640.5</v>
      </c>
      <c r="D437">
        <v>40</v>
      </c>
    </row>
    <row r="438" spans="1:4" x14ac:dyDescent="0.3">
      <c r="A438" t="s">
        <v>34</v>
      </c>
      <c r="B438" t="s">
        <v>80</v>
      </c>
      <c r="C438">
        <v>3582.95</v>
      </c>
      <c r="D438">
        <v>22</v>
      </c>
    </row>
    <row r="439" spans="1:4" x14ac:dyDescent="0.3">
      <c r="A439" t="s">
        <v>23</v>
      </c>
      <c r="B439" t="s">
        <v>92</v>
      </c>
      <c r="C439">
        <v>3582.5</v>
      </c>
      <c r="D439">
        <v>7</v>
      </c>
    </row>
    <row r="440" spans="1:4" x14ac:dyDescent="0.3">
      <c r="A440" t="s">
        <v>52</v>
      </c>
      <c r="B440" t="s">
        <v>78</v>
      </c>
      <c r="C440">
        <v>3577.96</v>
      </c>
      <c r="D440">
        <v>17</v>
      </c>
    </row>
    <row r="441" spans="1:4" x14ac:dyDescent="0.3">
      <c r="A441" t="s">
        <v>27</v>
      </c>
      <c r="B441" t="s">
        <v>86</v>
      </c>
      <c r="C441">
        <v>3569.94</v>
      </c>
      <c r="D441">
        <v>45</v>
      </c>
    </row>
    <row r="442" spans="1:4" x14ac:dyDescent="0.3">
      <c r="A442" t="s">
        <v>13</v>
      </c>
      <c r="B442" t="s">
        <v>97</v>
      </c>
      <c r="C442">
        <v>3568.13</v>
      </c>
      <c r="D442">
        <v>19</v>
      </c>
    </row>
    <row r="443" spans="1:4" x14ac:dyDescent="0.3">
      <c r="A443" t="s">
        <v>20</v>
      </c>
      <c r="B443" t="s">
        <v>85</v>
      </c>
      <c r="C443">
        <v>3559.97</v>
      </c>
      <c r="D443">
        <v>2</v>
      </c>
    </row>
    <row r="444" spans="1:4" x14ac:dyDescent="0.3">
      <c r="A444" t="s">
        <v>24</v>
      </c>
      <c r="B444" t="s">
        <v>88</v>
      </c>
      <c r="C444">
        <v>3546.67</v>
      </c>
      <c r="D444">
        <v>16</v>
      </c>
    </row>
    <row r="445" spans="1:4" x14ac:dyDescent="0.3">
      <c r="A445" t="s">
        <v>26</v>
      </c>
      <c r="B445" t="s">
        <v>86</v>
      </c>
      <c r="C445">
        <v>3525.02</v>
      </c>
      <c r="D445">
        <v>22</v>
      </c>
    </row>
    <row r="446" spans="1:4" x14ac:dyDescent="0.3">
      <c r="A446" t="s">
        <v>18</v>
      </c>
      <c r="B446" t="s">
        <v>87</v>
      </c>
      <c r="C446">
        <v>3519.57</v>
      </c>
      <c r="D446">
        <v>19</v>
      </c>
    </row>
    <row r="447" spans="1:4" x14ac:dyDescent="0.3">
      <c r="A447" t="s">
        <v>6</v>
      </c>
      <c r="B447" t="s">
        <v>89</v>
      </c>
      <c r="C447">
        <v>3506.54</v>
      </c>
      <c r="D447">
        <v>34</v>
      </c>
    </row>
    <row r="448" spans="1:4" x14ac:dyDescent="0.3">
      <c r="A448" t="s">
        <v>22</v>
      </c>
      <c r="B448" t="s">
        <v>90</v>
      </c>
      <c r="C448">
        <v>3502.9</v>
      </c>
      <c r="D448">
        <v>7</v>
      </c>
    </row>
    <row r="449" spans="1:4" x14ac:dyDescent="0.3">
      <c r="A449" t="s">
        <v>6</v>
      </c>
      <c r="B449" t="s">
        <v>93</v>
      </c>
      <c r="C449">
        <v>3494.59</v>
      </c>
      <c r="D449">
        <v>29</v>
      </c>
    </row>
    <row r="450" spans="1:4" x14ac:dyDescent="0.3">
      <c r="A450" t="s">
        <v>11</v>
      </c>
      <c r="B450" t="s">
        <v>94</v>
      </c>
      <c r="C450">
        <v>3490.87</v>
      </c>
      <c r="D450">
        <v>20</v>
      </c>
    </row>
    <row r="451" spans="1:4" x14ac:dyDescent="0.3">
      <c r="A451" t="s">
        <v>23</v>
      </c>
      <c r="B451" t="s">
        <v>91</v>
      </c>
      <c r="C451">
        <v>3477.05</v>
      </c>
      <c r="D451">
        <v>9</v>
      </c>
    </row>
    <row r="452" spans="1:4" x14ac:dyDescent="0.3">
      <c r="A452" t="s">
        <v>17</v>
      </c>
      <c r="B452" t="s">
        <v>90</v>
      </c>
      <c r="C452">
        <v>3463.74</v>
      </c>
      <c r="D452">
        <v>60</v>
      </c>
    </row>
    <row r="453" spans="1:4" x14ac:dyDescent="0.3">
      <c r="A453" t="s">
        <v>40</v>
      </c>
      <c r="B453" t="s">
        <v>81</v>
      </c>
      <c r="C453">
        <v>3439.09</v>
      </c>
      <c r="D453">
        <v>12</v>
      </c>
    </row>
    <row r="454" spans="1:4" x14ac:dyDescent="0.3">
      <c r="A454" t="s">
        <v>11</v>
      </c>
      <c r="B454" t="s">
        <v>98</v>
      </c>
      <c r="C454">
        <v>3429.41</v>
      </c>
      <c r="D454">
        <v>16</v>
      </c>
    </row>
    <row r="455" spans="1:4" x14ac:dyDescent="0.3">
      <c r="A455" t="s">
        <v>29</v>
      </c>
      <c r="B455" t="s">
        <v>88</v>
      </c>
      <c r="C455">
        <v>3416.5</v>
      </c>
      <c r="D455">
        <v>21</v>
      </c>
    </row>
    <row r="456" spans="1:4" x14ac:dyDescent="0.3">
      <c r="A456" t="s">
        <v>14</v>
      </c>
      <c r="B456" t="s">
        <v>93</v>
      </c>
      <c r="C456">
        <v>3408.07</v>
      </c>
      <c r="D456">
        <v>15</v>
      </c>
    </row>
    <row r="457" spans="1:4" x14ac:dyDescent="0.3">
      <c r="A457" t="s">
        <v>19</v>
      </c>
      <c r="B457" t="s">
        <v>95</v>
      </c>
      <c r="C457">
        <v>3403.01</v>
      </c>
      <c r="D457">
        <v>11</v>
      </c>
    </row>
    <row r="458" spans="1:4" x14ac:dyDescent="0.3">
      <c r="A458" t="s">
        <v>29</v>
      </c>
      <c r="B458" t="s">
        <v>83</v>
      </c>
      <c r="C458">
        <v>3384.93</v>
      </c>
      <c r="D458">
        <v>31</v>
      </c>
    </row>
    <row r="459" spans="1:4" x14ac:dyDescent="0.3">
      <c r="A459" t="s">
        <v>22</v>
      </c>
      <c r="B459" t="s">
        <v>89</v>
      </c>
      <c r="C459">
        <v>3366.25</v>
      </c>
      <c r="D459">
        <v>8</v>
      </c>
    </row>
    <row r="460" spans="1:4" x14ac:dyDescent="0.3">
      <c r="A460" t="s">
        <v>37</v>
      </c>
      <c r="B460" t="s">
        <v>81</v>
      </c>
      <c r="C460">
        <v>3353.81</v>
      </c>
      <c r="D460">
        <v>10</v>
      </c>
    </row>
    <row r="461" spans="1:4" x14ac:dyDescent="0.3">
      <c r="A461" t="s">
        <v>43</v>
      </c>
      <c r="B461" t="s">
        <v>93</v>
      </c>
      <c r="C461">
        <v>3321.97</v>
      </c>
      <c r="D461">
        <v>3</v>
      </c>
    </row>
    <row r="462" spans="1:4" x14ac:dyDescent="0.3">
      <c r="A462" t="s">
        <v>20</v>
      </c>
      <c r="B462" t="s">
        <v>89</v>
      </c>
      <c r="C462">
        <v>3319</v>
      </c>
      <c r="D462">
        <v>4</v>
      </c>
    </row>
    <row r="463" spans="1:4" x14ac:dyDescent="0.3">
      <c r="A463" t="s">
        <v>6</v>
      </c>
      <c r="B463" t="s">
        <v>95</v>
      </c>
      <c r="C463">
        <v>3311.44</v>
      </c>
      <c r="D463">
        <v>24</v>
      </c>
    </row>
    <row r="464" spans="1:4" x14ac:dyDescent="0.3">
      <c r="A464" t="s">
        <v>49</v>
      </c>
      <c r="B464" t="s">
        <v>79</v>
      </c>
      <c r="C464">
        <v>3304.28</v>
      </c>
      <c r="D464">
        <v>41</v>
      </c>
    </row>
    <row r="465" spans="1:4" x14ac:dyDescent="0.3">
      <c r="A465" t="s">
        <v>23</v>
      </c>
      <c r="B465" t="s">
        <v>88</v>
      </c>
      <c r="C465">
        <v>3261.67</v>
      </c>
      <c r="D465">
        <v>7</v>
      </c>
    </row>
    <row r="466" spans="1:4" x14ac:dyDescent="0.3">
      <c r="A466" t="s">
        <v>42</v>
      </c>
      <c r="B466" t="s">
        <v>78</v>
      </c>
      <c r="C466">
        <v>3257.91</v>
      </c>
      <c r="D466">
        <v>19</v>
      </c>
    </row>
    <row r="467" spans="1:4" x14ac:dyDescent="0.3">
      <c r="A467" t="s">
        <v>9</v>
      </c>
      <c r="B467" t="s">
        <v>95</v>
      </c>
      <c r="C467">
        <v>3241.48</v>
      </c>
      <c r="D467">
        <v>29</v>
      </c>
    </row>
    <row r="468" spans="1:4" x14ac:dyDescent="0.3">
      <c r="A468" t="s">
        <v>28</v>
      </c>
      <c r="B468" t="s">
        <v>90</v>
      </c>
      <c r="C468">
        <v>3215.88</v>
      </c>
      <c r="D468">
        <v>7</v>
      </c>
    </row>
    <row r="469" spans="1:4" x14ac:dyDescent="0.3">
      <c r="A469" t="s">
        <v>7</v>
      </c>
      <c r="B469" t="s">
        <v>99</v>
      </c>
      <c r="C469">
        <v>3212.88</v>
      </c>
      <c r="D469">
        <v>16</v>
      </c>
    </row>
    <row r="470" spans="1:4" x14ac:dyDescent="0.3">
      <c r="A470" t="s">
        <v>19</v>
      </c>
      <c r="B470" t="s">
        <v>88</v>
      </c>
      <c r="C470">
        <v>3173.43</v>
      </c>
      <c r="D470">
        <v>31</v>
      </c>
    </row>
    <row r="471" spans="1:4" x14ac:dyDescent="0.3">
      <c r="A471" t="s">
        <v>27</v>
      </c>
      <c r="B471" t="s">
        <v>84</v>
      </c>
      <c r="C471">
        <v>3173.08</v>
      </c>
      <c r="D471">
        <v>40</v>
      </c>
    </row>
    <row r="472" spans="1:4" x14ac:dyDescent="0.3">
      <c r="A472" t="s">
        <v>17</v>
      </c>
      <c r="B472" t="s">
        <v>93</v>
      </c>
      <c r="C472">
        <v>3172.42</v>
      </c>
      <c r="D472">
        <v>25</v>
      </c>
    </row>
    <row r="473" spans="1:4" x14ac:dyDescent="0.3">
      <c r="A473" t="s">
        <v>18</v>
      </c>
      <c r="B473" t="s">
        <v>85</v>
      </c>
      <c r="C473">
        <v>3161.93</v>
      </c>
      <c r="D473">
        <v>21</v>
      </c>
    </row>
    <row r="474" spans="1:4" x14ac:dyDescent="0.3">
      <c r="A474" t="s">
        <v>14</v>
      </c>
      <c r="B474" t="s">
        <v>91</v>
      </c>
      <c r="C474">
        <v>3161.42</v>
      </c>
      <c r="D474">
        <v>20</v>
      </c>
    </row>
    <row r="475" spans="1:4" x14ac:dyDescent="0.3">
      <c r="A475" t="s">
        <v>27</v>
      </c>
      <c r="B475" t="s">
        <v>85</v>
      </c>
      <c r="C475">
        <v>3160.69</v>
      </c>
      <c r="D475">
        <v>45</v>
      </c>
    </row>
    <row r="476" spans="1:4" x14ac:dyDescent="0.3">
      <c r="A476" t="s">
        <v>33</v>
      </c>
      <c r="B476" t="s">
        <v>80</v>
      </c>
      <c r="C476">
        <v>3155.93</v>
      </c>
      <c r="D476">
        <v>9</v>
      </c>
    </row>
    <row r="477" spans="1:4" x14ac:dyDescent="0.3">
      <c r="A477" t="s">
        <v>43</v>
      </c>
      <c r="B477" t="s">
        <v>80</v>
      </c>
      <c r="C477">
        <v>3147.49</v>
      </c>
      <c r="D477">
        <v>19</v>
      </c>
    </row>
    <row r="478" spans="1:4" x14ac:dyDescent="0.3">
      <c r="A478" t="s">
        <v>43</v>
      </c>
      <c r="B478" t="s">
        <v>78</v>
      </c>
      <c r="C478">
        <v>3126.6</v>
      </c>
      <c r="D478">
        <v>23</v>
      </c>
    </row>
    <row r="479" spans="1:4" x14ac:dyDescent="0.3">
      <c r="A479" t="s">
        <v>7</v>
      </c>
      <c r="B479" t="s">
        <v>97</v>
      </c>
      <c r="C479">
        <v>3116.92</v>
      </c>
      <c r="D479">
        <v>31</v>
      </c>
    </row>
    <row r="480" spans="1:4" x14ac:dyDescent="0.3">
      <c r="A480" t="s">
        <v>19</v>
      </c>
      <c r="B480" t="s">
        <v>90</v>
      </c>
      <c r="C480">
        <v>3113.16</v>
      </c>
      <c r="D480">
        <v>24</v>
      </c>
    </row>
    <row r="481" spans="1:4" x14ac:dyDescent="0.3">
      <c r="A481" t="s">
        <v>14</v>
      </c>
      <c r="B481" t="s">
        <v>99</v>
      </c>
      <c r="C481">
        <v>3079.05</v>
      </c>
      <c r="D481">
        <v>13</v>
      </c>
    </row>
    <row r="482" spans="1:4" x14ac:dyDescent="0.3">
      <c r="A482" t="s">
        <v>32</v>
      </c>
      <c r="B482" t="s">
        <v>82</v>
      </c>
      <c r="C482">
        <v>3048.51</v>
      </c>
      <c r="D482">
        <v>24</v>
      </c>
    </row>
    <row r="483" spans="1:4" x14ac:dyDescent="0.3">
      <c r="A483" t="s">
        <v>18</v>
      </c>
      <c r="B483" t="s">
        <v>84</v>
      </c>
      <c r="C483">
        <v>2997.74</v>
      </c>
      <c r="D483">
        <v>19</v>
      </c>
    </row>
    <row r="484" spans="1:4" x14ac:dyDescent="0.3">
      <c r="A484" t="s">
        <v>35</v>
      </c>
      <c r="B484" t="s">
        <v>80</v>
      </c>
      <c r="C484">
        <v>2991.89</v>
      </c>
      <c r="D484">
        <v>19</v>
      </c>
    </row>
    <row r="485" spans="1:4" x14ac:dyDescent="0.3">
      <c r="A485" t="s">
        <v>48</v>
      </c>
      <c r="B485" t="s">
        <v>78</v>
      </c>
      <c r="C485">
        <v>2982.9</v>
      </c>
      <c r="D485">
        <v>32</v>
      </c>
    </row>
    <row r="486" spans="1:4" x14ac:dyDescent="0.3">
      <c r="A486" t="s">
        <v>16</v>
      </c>
      <c r="B486" t="s">
        <v>95</v>
      </c>
      <c r="C486">
        <v>2970.59</v>
      </c>
      <c r="D486">
        <v>21</v>
      </c>
    </row>
    <row r="487" spans="1:4" x14ac:dyDescent="0.3">
      <c r="A487" t="s">
        <v>46</v>
      </c>
      <c r="B487" t="s">
        <v>78</v>
      </c>
      <c r="C487">
        <v>2967.74</v>
      </c>
      <c r="D487">
        <v>34</v>
      </c>
    </row>
    <row r="488" spans="1:4" x14ac:dyDescent="0.3">
      <c r="A488" t="s">
        <v>21</v>
      </c>
      <c r="B488" t="s">
        <v>90</v>
      </c>
      <c r="C488">
        <v>2936.2</v>
      </c>
      <c r="D488">
        <v>14</v>
      </c>
    </row>
    <row r="489" spans="1:4" x14ac:dyDescent="0.3">
      <c r="A489" t="s">
        <v>41</v>
      </c>
      <c r="B489" t="s">
        <v>81</v>
      </c>
      <c r="C489">
        <v>2933.35</v>
      </c>
      <c r="D489">
        <v>33</v>
      </c>
    </row>
    <row r="490" spans="1:4" x14ac:dyDescent="0.3">
      <c r="A490" t="s">
        <v>51</v>
      </c>
      <c r="B490" t="s">
        <v>90</v>
      </c>
      <c r="C490">
        <v>2919.4</v>
      </c>
      <c r="D490">
        <v>1</v>
      </c>
    </row>
    <row r="491" spans="1:4" x14ac:dyDescent="0.3">
      <c r="A491" t="s">
        <v>5</v>
      </c>
      <c r="B491" t="s">
        <v>97</v>
      </c>
      <c r="C491">
        <v>2896</v>
      </c>
      <c r="D491">
        <v>20</v>
      </c>
    </row>
    <row r="492" spans="1:4" x14ac:dyDescent="0.3">
      <c r="A492" t="s">
        <v>20</v>
      </c>
      <c r="B492" t="s">
        <v>90</v>
      </c>
      <c r="C492">
        <v>2889.99</v>
      </c>
      <c r="D492">
        <v>2</v>
      </c>
    </row>
    <row r="493" spans="1:4" x14ac:dyDescent="0.3">
      <c r="A493" t="s">
        <v>25</v>
      </c>
      <c r="B493" t="s">
        <v>89</v>
      </c>
      <c r="C493">
        <v>2875.88</v>
      </c>
      <c r="D493">
        <v>27</v>
      </c>
    </row>
    <row r="494" spans="1:4" x14ac:dyDescent="0.3">
      <c r="A494" t="s">
        <v>17</v>
      </c>
      <c r="B494" t="s">
        <v>94</v>
      </c>
      <c r="C494">
        <v>2875.69</v>
      </c>
      <c r="D494">
        <v>35</v>
      </c>
    </row>
    <row r="495" spans="1:4" x14ac:dyDescent="0.3">
      <c r="A495" t="s">
        <v>13</v>
      </c>
      <c r="B495" t="s">
        <v>95</v>
      </c>
      <c r="C495">
        <v>2871.31</v>
      </c>
      <c r="D495">
        <v>16</v>
      </c>
    </row>
    <row r="496" spans="1:4" x14ac:dyDescent="0.3">
      <c r="A496" t="s">
        <v>21</v>
      </c>
      <c r="B496" t="s">
        <v>87</v>
      </c>
      <c r="C496">
        <v>2864.78</v>
      </c>
      <c r="D496">
        <v>22</v>
      </c>
    </row>
    <row r="497" spans="1:4" x14ac:dyDescent="0.3">
      <c r="A497" t="s">
        <v>63</v>
      </c>
      <c r="B497" t="s">
        <v>77</v>
      </c>
      <c r="C497">
        <v>2852.76</v>
      </c>
      <c r="D497">
        <v>19</v>
      </c>
    </row>
    <row r="498" spans="1:4" x14ac:dyDescent="0.3">
      <c r="A498" t="s">
        <v>44</v>
      </c>
      <c r="B498" t="s">
        <v>82</v>
      </c>
      <c r="C498">
        <v>2850.64</v>
      </c>
      <c r="D498">
        <v>12</v>
      </c>
    </row>
    <row r="499" spans="1:4" x14ac:dyDescent="0.3">
      <c r="A499" t="s">
        <v>38</v>
      </c>
      <c r="B499" t="s">
        <v>81</v>
      </c>
      <c r="C499">
        <v>2841.27</v>
      </c>
      <c r="D499">
        <v>17</v>
      </c>
    </row>
    <row r="500" spans="1:4" x14ac:dyDescent="0.3">
      <c r="A500" t="s">
        <v>16</v>
      </c>
      <c r="B500" t="s">
        <v>90</v>
      </c>
      <c r="C500">
        <v>2837.13</v>
      </c>
      <c r="D500">
        <v>22</v>
      </c>
    </row>
    <row r="501" spans="1:4" x14ac:dyDescent="0.3">
      <c r="A501" t="s">
        <v>46</v>
      </c>
      <c r="B501" t="s">
        <v>79</v>
      </c>
      <c r="C501">
        <v>2825.05</v>
      </c>
      <c r="D501">
        <v>31</v>
      </c>
    </row>
    <row r="502" spans="1:4" x14ac:dyDescent="0.3">
      <c r="A502" t="s">
        <v>55</v>
      </c>
      <c r="B502" t="s">
        <v>78</v>
      </c>
      <c r="C502">
        <v>2811.4</v>
      </c>
      <c r="D502">
        <v>41</v>
      </c>
    </row>
    <row r="503" spans="1:4" x14ac:dyDescent="0.3">
      <c r="A503" t="s">
        <v>45</v>
      </c>
      <c r="B503" t="s">
        <v>78</v>
      </c>
      <c r="C503">
        <v>2808.31</v>
      </c>
      <c r="D503">
        <v>41</v>
      </c>
    </row>
    <row r="504" spans="1:4" x14ac:dyDescent="0.3">
      <c r="A504" t="s">
        <v>8</v>
      </c>
      <c r="B504" t="s">
        <v>95</v>
      </c>
      <c r="C504">
        <v>2801.27</v>
      </c>
      <c r="D504">
        <v>27</v>
      </c>
    </row>
    <row r="505" spans="1:4" x14ac:dyDescent="0.3">
      <c r="A505" t="s">
        <v>24</v>
      </c>
      <c r="B505" t="s">
        <v>93</v>
      </c>
      <c r="C505">
        <v>2791.34</v>
      </c>
      <c r="D505">
        <v>9</v>
      </c>
    </row>
    <row r="506" spans="1:4" x14ac:dyDescent="0.3">
      <c r="A506" t="s">
        <v>29</v>
      </c>
      <c r="B506" t="s">
        <v>84</v>
      </c>
      <c r="C506">
        <v>2776.85</v>
      </c>
      <c r="D506">
        <v>23</v>
      </c>
    </row>
    <row r="507" spans="1:4" x14ac:dyDescent="0.3">
      <c r="A507" t="s">
        <v>4</v>
      </c>
      <c r="B507" t="s">
        <v>100</v>
      </c>
      <c r="C507">
        <v>2776.03</v>
      </c>
      <c r="D507">
        <v>15</v>
      </c>
    </row>
    <row r="508" spans="1:4" x14ac:dyDescent="0.3">
      <c r="A508" t="s">
        <v>31</v>
      </c>
      <c r="B508" t="s">
        <v>81</v>
      </c>
      <c r="C508">
        <v>2748.11</v>
      </c>
      <c r="D508">
        <v>21</v>
      </c>
    </row>
    <row r="509" spans="1:4" x14ac:dyDescent="0.3">
      <c r="A509" t="s">
        <v>32</v>
      </c>
      <c r="B509" t="s">
        <v>83</v>
      </c>
      <c r="C509">
        <v>2737.29</v>
      </c>
      <c r="D509">
        <v>38</v>
      </c>
    </row>
    <row r="510" spans="1:4" x14ac:dyDescent="0.3">
      <c r="A510" t="s">
        <v>44</v>
      </c>
      <c r="B510" t="s">
        <v>78</v>
      </c>
      <c r="C510">
        <v>2736.43</v>
      </c>
      <c r="D510">
        <v>17</v>
      </c>
    </row>
    <row r="511" spans="1:4" x14ac:dyDescent="0.3">
      <c r="A511" t="s">
        <v>30</v>
      </c>
      <c r="B511" t="s">
        <v>84</v>
      </c>
      <c r="C511">
        <v>2733.9</v>
      </c>
      <c r="D511">
        <v>5</v>
      </c>
    </row>
    <row r="512" spans="1:4" x14ac:dyDescent="0.3">
      <c r="A512" t="s">
        <v>24</v>
      </c>
      <c r="B512" t="s">
        <v>84</v>
      </c>
      <c r="C512">
        <v>2701.81</v>
      </c>
      <c r="D512">
        <v>32</v>
      </c>
    </row>
    <row r="513" spans="1:4" x14ac:dyDescent="0.3">
      <c r="A513" t="s">
        <v>28</v>
      </c>
      <c r="B513" t="s">
        <v>86</v>
      </c>
      <c r="C513">
        <v>2696.38</v>
      </c>
      <c r="D513">
        <v>10</v>
      </c>
    </row>
    <row r="514" spans="1:4" x14ac:dyDescent="0.3">
      <c r="A514" t="s">
        <v>26</v>
      </c>
      <c r="B514" t="s">
        <v>96</v>
      </c>
      <c r="C514">
        <v>2683.08</v>
      </c>
      <c r="D514">
        <v>7</v>
      </c>
    </row>
    <row r="515" spans="1:4" x14ac:dyDescent="0.3">
      <c r="A515" t="s">
        <v>31</v>
      </c>
      <c r="B515" t="s">
        <v>85</v>
      </c>
      <c r="C515">
        <v>2668.35</v>
      </c>
      <c r="D515">
        <v>12</v>
      </c>
    </row>
    <row r="516" spans="1:4" x14ac:dyDescent="0.3">
      <c r="A516" t="s">
        <v>27</v>
      </c>
      <c r="B516" t="s">
        <v>88</v>
      </c>
      <c r="C516">
        <v>2667.73</v>
      </c>
      <c r="D516">
        <v>28</v>
      </c>
    </row>
    <row r="517" spans="1:4" x14ac:dyDescent="0.3">
      <c r="A517" t="s">
        <v>31</v>
      </c>
      <c r="B517" t="s">
        <v>83</v>
      </c>
      <c r="C517">
        <v>2654.23</v>
      </c>
      <c r="D517">
        <v>11</v>
      </c>
    </row>
    <row r="518" spans="1:4" x14ac:dyDescent="0.3">
      <c r="A518" t="s">
        <v>30</v>
      </c>
      <c r="B518" t="s">
        <v>88</v>
      </c>
      <c r="C518">
        <v>2653.9</v>
      </c>
      <c r="D518">
        <v>3</v>
      </c>
    </row>
    <row r="519" spans="1:4" x14ac:dyDescent="0.3">
      <c r="A519" t="s">
        <v>22</v>
      </c>
      <c r="B519" t="s">
        <v>85</v>
      </c>
      <c r="C519">
        <v>2594.88</v>
      </c>
      <c r="D519">
        <v>9</v>
      </c>
    </row>
    <row r="520" spans="1:4" x14ac:dyDescent="0.3">
      <c r="A520" t="s">
        <v>28</v>
      </c>
      <c r="B520" t="s">
        <v>87</v>
      </c>
      <c r="C520">
        <v>2593.77</v>
      </c>
      <c r="D520">
        <v>9</v>
      </c>
    </row>
    <row r="521" spans="1:4" x14ac:dyDescent="0.3">
      <c r="A521" t="s">
        <v>25</v>
      </c>
      <c r="B521" t="s">
        <v>93</v>
      </c>
      <c r="C521">
        <v>2573.4299999999998</v>
      </c>
      <c r="D521">
        <v>13</v>
      </c>
    </row>
    <row r="522" spans="1:4" x14ac:dyDescent="0.3">
      <c r="A522" t="s">
        <v>21</v>
      </c>
      <c r="B522" t="s">
        <v>92</v>
      </c>
      <c r="C522">
        <v>2569.92</v>
      </c>
      <c r="D522">
        <v>22</v>
      </c>
    </row>
    <row r="523" spans="1:4" x14ac:dyDescent="0.3">
      <c r="A523" t="s">
        <v>29</v>
      </c>
      <c r="B523" t="s">
        <v>86</v>
      </c>
      <c r="C523">
        <v>2553.48</v>
      </c>
      <c r="D523">
        <v>15</v>
      </c>
    </row>
    <row r="524" spans="1:4" x14ac:dyDescent="0.3">
      <c r="A524" t="s">
        <v>41</v>
      </c>
      <c r="B524" t="s">
        <v>80</v>
      </c>
      <c r="C524">
        <v>2540.85</v>
      </c>
      <c r="D524">
        <v>28</v>
      </c>
    </row>
    <row r="525" spans="1:4" x14ac:dyDescent="0.3">
      <c r="A525" t="s">
        <v>23</v>
      </c>
      <c r="B525" t="s">
        <v>84</v>
      </c>
      <c r="C525">
        <v>2532.6</v>
      </c>
      <c r="D525">
        <v>10</v>
      </c>
    </row>
    <row r="526" spans="1:4" x14ac:dyDescent="0.3">
      <c r="A526" t="s">
        <v>54</v>
      </c>
      <c r="B526" t="s">
        <v>85</v>
      </c>
      <c r="C526">
        <v>2529.5</v>
      </c>
      <c r="D526">
        <v>5</v>
      </c>
    </row>
    <row r="527" spans="1:4" x14ac:dyDescent="0.3">
      <c r="A527" t="s">
        <v>10</v>
      </c>
      <c r="B527" t="s">
        <v>94</v>
      </c>
      <c r="C527">
        <v>2506.09</v>
      </c>
      <c r="D527">
        <v>14</v>
      </c>
    </row>
    <row r="528" spans="1:4" x14ac:dyDescent="0.3">
      <c r="A528" t="s">
        <v>11</v>
      </c>
      <c r="B528" t="s">
        <v>96</v>
      </c>
      <c r="C528">
        <v>2500.94</v>
      </c>
      <c r="D528">
        <v>16</v>
      </c>
    </row>
    <row r="529" spans="1:4" x14ac:dyDescent="0.3">
      <c r="A529" t="s">
        <v>20</v>
      </c>
      <c r="B529" t="s">
        <v>97</v>
      </c>
      <c r="C529">
        <v>2500</v>
      </c>
      <c r="D529">
        <v>2</v>
      </c>
    </row>
    <row r="530" spans="1:4" x14ac:dyDescent="0.3">
      <c r="A530" t="s">
        <v>20</v>
      </c>
      <c r="B530" t="s">
        <v>99</v>
      </c>
      <c r="C530">
        <v>2499.9</v>
      </c>
      <c r="D530">
        <v>2</v>
      </c>
    </row>
    <row r="531" spans="1:4" x14ac:dyDescent="0.3">
      <c r="A531" t="s">
        <v>19</v>
      </c>
      <c r="B531" t="s">
        <v>89</v>
      </c>
      <c r="C531">
        <v>2496.81</v>
      </c>
      <c r="D531">
        <v>22</v>
      </c>
    </row>
    <row r="532" spans="1:4" x14ac:dyDescent="0.3">
      <c r="A532" t="s">
        <v>34</v>
      </c>
      <c r="B532" t="s">
        <v>83</v>
      </c>
      <c r="C532">
        <v>2494.4299999999998</v>
      </c>
      <c r="D532">
        <v>17</v>
      </c>
    </row>
    <row r="533" spans="1:4" x14ac:dyDescent="0.3">
      <c r="A533" t="s">
        <v>62</v>
      </c>
      <c r="B533" t="s">
        <v>77</v>
      </c>
      <c r="C533">
        <v>2484.5</v>
      </c>
      <c r="D533">
        <v>33</v>
      </c>
    </row>
    <row r="534" spans="1:4" x14ac:dyDescent="0.3">
      <c r="A534" t="s">
        <v>25</v>
      </c>
      <c r="B534" t="s">
        <v>84</v>
      </c>
      <c r="C534">
        <v>2458.04</v>
      </c>
      <c r="D534">
        <v>50</v>
      </c>
    </row>
    <row r="535" spans="1:4" x14ac:dyDescent="0.3">
      <c r="A535" t="s">
        <v>59</v>
      </c>
      <c r="B535" t="s">
        <v>77</v>
      </c>
      <c r="C535">
        <v>2449.7600000000002</v>
      </c>
      <c r="D535">
        <v>31</v>
      </c>
    </row>
    <row r="536" spans="1:4" x14ac:dyDescent="0.3">
      <c r="A536" t="s">
        <v>51</v>
      </c>
      <c r="B536" t="s">
        <v>78</v>
      </c>
      <c r="C536">
        <v>2445.54</v>
      </c>
      <c r="D536">
        <v>17</v>
      </c>
    </row>
    <row r="537" spans="1:4" x14ac:dyDescent="0.3">
      <c r="A537" t="s">
        <v>10</v>
      </c>
      <c r="B537" t="s">
        <v>93</v>
      </c>
      <c r="C537">
        <v>2443.6999999999998</v>
      </c>
      <c r="D537">
        <v>18</v>
      </c>
    </row>
    <row r="538" spans="1:4" x14ac:dyDescent="0.3">
      <c r="A538" t="s">
        <v>11</v>
      </c>
      <c r="B538" t="s">
        <v>99</v>
      </c>
      <c r="C538">
        <v>2440.14</v>
      </c>
      <c r="D538">
        <v>12</v>
      </c>
    </row>
    <row r="539" spans="1:4" x14ac:dyDescent="0.3">
      <c r="A539" t="s">
        <v>12</v>
      </c>
      <c r="B539" t="s">
        <v>98</v>
      </c>
      <c r="C539">
        <v>2418.84</v>
      </c>
      <c r="D539">
        <v>16</v>
      </c>
    </row>
    <row r="540" spans="1:4" x14ac:dyDescent="0.3">
      <c r="A540" t="s">
        <v>36</v>
      </c>
      <c r="B540" t="s">
        <v>80</v>
      </c>
      <c r="C540">
        <v>2402.7600000000002</v>
      </c>
      <c r="D540">
        <v>18</v>
      </c>
    </row>
    <row r="541" spans="1:4" x14ac:dyDescent="0.3">
      <c r="A541" t="s">
        <v>16</v>
      </c>
      <c r="B541" t="s">
        <v>93</v>
      </c>
      <c r="C541">
        <v>2402.0700000000002</v>
      </c>
      <c r="D541">
        <v>18</v>
      </c>
    </row>
    <row r="542" spans="1:4" x14ac:dyDescent="0.3">
      <c r="A542" t="s">
        <v>26</v>
      </c>
      <c r="B542" t="s">
        <v>85</v>
      </c>
      <c r="C542">
        <v>2386.84</v>
      </c>
      <c r="D542">
        <v>21</v>
      </c>
    </row>
    <row r="543" spans="1:4" x14ac:dyDescent="0.3">
      <c r="A543" t="s">
        <v>44</v>
      </c>
      <c r="B543" t="s">
        <v>83</v>
      </c>
      <c r="C543">
        <v>2384.9299999999998</v>
      </c>
      <c r="D543">
        <v>7</v>
      </c>
    </row>
    <row r="544" spans="1:4" x14ac:dyDescent="0.3">
      <c r="A544" t="s">
        <v>10</v>
      </c>
      <c r="B544" t="s">
        <v>91</v>
      </c>
      <c r="C544">
        <v>2384.7600000000002</v>
      </c>
      <c r="D544">
        <v>22</v>
      </c>
    </row>
    <row r="545" spans="1:4" x14ac:dyDescent="0.3">
      <c r="A545" t="s">
        <v>49</v>
      </c>
      <c r="B545" t="s">
        <v>78</v>
      </c>
      <c r="C545">
        <v>2381.11</v>
      </c>
      <c r="D545">
        <v>23</v>
      </c>
    </row>
    <row r="546" spans="1:4" x14ac:dyDescent="0.3">
      <c r="A546" t="s">
        <v>12</v>
      </c>
      <c r="B546" t="s">
        <v>97</v>
      </c>
      <c r="C546">
        <v>2373.88</v>
      </c>
      <c r="D546">
        <v>20</v>
      </c>
    </row>
    <row r="547" spans="1:4" x14ac:dyDescent="0.3">
      <c r="A547" t="s">
        <v>17</v>
      </c>
      <c r="B547" t="s">
        <v>97</v>
      </c>
      <c r="C547">
        <v>2365.89</v>
      </c>
      <c r="D547">
        <v>27</v>
      </c>
    </row>
    <row r="548" spans="1:4" x14ac:dyDescent="0.3">
      <c r="A548" t="s">
        <v>20</v>
      </c>
      <c r="B548" t="s">
        <v>94</v>
      </c>
      <c r="C548">
        <v>2349.9899999999998</v>
      </c>
      <c r="D548">
        <v>3</v>
      </c>
    </row>
    <row r="549" spans="1:4" x14ac:dyDescent="0.3">
      <c r="A549" t="s">
        <v>30</v>
      </c>
      <c r="B549" t="s">
        <v>96</v>
      </c>
      <c r="C549">
        <v>2345</v>
      </c>
      <c r="D549">
        <v>2</v>
      </c>
    </row>
    <row r="550" spans="1:4" x14ac:dyDescent="0.3">
      <c r="A550" t="s">
        <v>27</v>
      </c>
      <c r="B550" t="s">
        <v>87</v>
      </c>
      <c r="C550">
        <v>2336.9299999999998</v>
      </c>
      <c r="D550">
        <v>34</v>
      </c>
    </row>
    <row r="551" spans="1:4" x14ac:dyDescent="0.3">
      <c r="A551" t="s">
        <v>15</v>
      </c>
      <c r="B551" t="s">
        <v>95</v>
      </c>
      <c r="C551">
        <v>2334.39</v>
      </c>
      <c r="D551">
        <v>15</v>
      </c>
    </row>
    <row r="552" spans="1:4" x14ac:dyDescent="0.3">
      <c r="A552" t="s">
        <v>32</v>
      </c>
      <c r="B552" t="s">
        <v>93</v>
      </c>
      <c r="C552">
        <v>2310</v>
      </c>
      <c r="D552">
        <v>2</v>
      </c>
    </row>
    <row r="553" spans="1:4" x14ac:dyDescent="0.3">
      <c r="A553" t="s">
        <v>47</v>
      </c>
      <c r="B553" t="s">
        <v>79</v>
      </c>
      <c r="C553">
        <v>2302.13</v>
      </c>
      <c r="D553">
        <v>20</v>
      </c>
    </row>
    <row r="554" spans="1:4" x14ac:dyDescent="0.3">
      <c r="A554" t="s">
        <v>21</v>
      </c>
      <c r="B554" t="s">
        <v>95</v>
      </c>
      <c r="C554">
        <v>2301.6799999999998</v>
      </c>
      <c r="D554">
        <v>9</v>
      </c>
    </row>
    <row r="555" spans="1:4" x14ac:dyDescent="0.3">
      <c r="A555" t="s">
        <v>33</v>
      </c>
      <c r="B555" t="s">
        <v>85</v>
      </c>
      <c r="C555">
        <v>2298.39</v>
      </c>
      <c r="D555">
        <v>6</v>
      </c>
    </row>
    <row r="556" spans="1:4" x14ac:dyDescent="0.3">
      <c r="A556" t="s">
        <v>33</v>
      </c>
      <c r="B556" t="s">
        <v>83</v>
      </c>
      <c r="C556">
        <v>2257</v>
      </c>
      <c r="D556">
        <v>3</v>
      </c>
    </row>
    <row r="557" spans="1:4" x14ac:dyDescent="0.3">
      <c r="A557" t="s">
        <v>42</v>
      </c>
      <c r="B557" t="s">
        <v>80</v>
      </c>
      <c r="C557">
        <v>2252.5300000000002</v>
      </c>
      <c r="D557">
        <v>18</v>
      </c>
    </row>
    <row r="558" spans="1:4" x14ac:dyDescent="0.3">
      <c r="A558" t="s">
        <v>38</v>
      </c>
      <c r="B558" t="s">
        <v>80</v>
      </c>
      <c r="C558">
        <v>2245.1999999999998</v>
      </c>
      <c r="D558">
        <v>16</v>
      </c>
    </row>
    <row r="559" spans="1:4" x14ac:dyDescent="0.3">
      <c r="A559" t="s">
        <v>52</v>
      </c>
      <c r="B559" t="s">
        <v>79</v>
      </c>
      <c r="C559">
        <v>2237.8000000000002</v>
      </c>
      <c r="D559">
        <v>7</v>
      </c>
    </row>
    <row r="560" spans="1:4" x14ac:dyDescent="0.3">
      <c r="A560" t="s">
        <v>15</v>
      </c>
      <c r="B560" t="s">
        <v>99</v>
      </c>
      <c r="C560">
        <v>2214.39</v>
      </c>
      <c r="D560">
        <v>11</v>
      </c>
    </row>
    <row r="561" spans="1:4" x14ac:dyDescent="0.3">
      <c r="A561" t="s">
        <v>21</v>
      </c>
      <c r="B561" t="s">
        <v>96</v>
      </c>
      <c r="C561">
        <v>2195.9</v>
      </c>
      <c r="D561">
        <v>3</v>
      </c>
    </row>
    <row r="562" spans="1:4" x14ac:dyDescent="0.3">
      <c r="A562" t="s">
        <v>44</v>
      </c>
      <c r="B562" t="s">
        <v>92</v>
      </c>
      <c r="C562">
        <v>2185.89</v>
      </c>
      <c r="D562">
        <v>2</v>
      </c>
    </row>
    <row r="563" spans="1:4" x14ac:dyDescent="0.3">
      <c r="A563" t="s">
        <v>44</v>
      </c>
      <c r="B563" t="s">
        <v>81</v>
      </c>
      <c r="C563">
        <v>2184.5100000000002</v>
      </c>
      <c r="D563">
        <v>13</v>
      </c>
    </row>
    <row r="564" spans="1:4" x14ac:dyDescent="0.3">
      <c r="A564" t="s">
        <v>15</v>
      </c>
      <c r="B564" t="s">
        <v>98</v>
      </c>
      <c r="C564">
        <v>2179.63</v>
      </c>
      <c r="D564">
        <v>7</v>
      </c>
    </row>
    <row r="565" spans="1:4" x14ac:dyDescent="0.3">
      <c r="A565" t="s">
        <v>13</v>
      </c>
      <c r="B565" t="s">
        <v>91</v>
      </c>
      <c r="C565">
        <v>2175.4699999999998</v>
      </c>
      <c r="D565">
        <v>19</v>
      </c>
    </row>
    <row r="566" spans="1:4" x14ac:dyDescent="0.3">
      <c r="A566" t="s">
        <v>21</v>
      </c>
      <c r="B566" t="s">
        <v>86</v>
      </c>
      <c r="C566">
        <v>2171.08</v>
      </c>
      <c r="D566">
        <v>21</v>
      </c>
    </row>
    <row r="567" spans="1:4" x14ac:dyDescent="0.3">
      <c r="A567" t="s">
        <v>8</v>
      </c>
      <c r="B567" t="s">
        <v>102</v>
      </c>
      <c r="C567">
        <v>2149.52</v>
      </c>
      <c r="D567">
        <v>7</v>
      </c>
    </row>
    <row r="568" spans="1:4" x14ac:dyDescent="0.3">
      <c r="A568" t="s">
        <v>31</v>
      </c>
      <c r="B568" t="s">
        <v>86</v>
      </c>
      <c r="C568">
        <v>2148.6999999999998</v>
      </c>
      <c r="D568">
        <v>14</v>
      </c>
    </row>
    <row r="569" spans="1:4" x14ac:dyDescent="0.3">
      <c r="A569" t="s">
        <v>58</v>
      </c>
      <c r="B569" t="s">
        <v>77</v>
      </c>
      <c r="C569">
        <v>2143.98</v>
      </c>
      <c r="D569">
        <v>44</v>
      </c>
    </row>
    <row r="570" spans="1:4" x14ac:dyDescent="0.3">
      <c r="A570" t="s">
        <v>46</v>
      </c>
      <c r="B570" t="s">
        <v>83</v>
      </c>
      <c r="C570">
        <v>2135.69</v>
      </c>
      <c r="D570">
        <v>4</v>
      </c>
    </row>
    <row r="571" spans="1:4" x14ac:dyDescent="0.3">
      <c r="A571" t="s">
        <v>34</v>
      </c>
      <c r="B571" t="s">
        <v>82</v>
      </c>
      <c r="C571">
        <v>2131.37</v>
      </c>
      <c r="D571">
        <v>12</v>
      </c>
    </row>
    <row r="572" spans="1:4" x14ac:dyDescent="0.3">
      <c r="A572" t="s">
        <v>19</v>
      </c>
      <c r="B572" t="s">
        <v>93</v>
      </c>
      <c r="C572">
        <v>2130.1799999999998</v>
      </c>
      <c r="D572">
        <v>16</v>
      </c>
    </row>
    <row r="573" spans="1:4" x14ac:dyDescent="0.3">
      <c r="A573" t="s">
        <v>45</v>
      </c>
      <c r="B573" t="s">
        <v>79</v>
      </c>
      <c r="C573">
        <v>2115.59</v>
      </c>
      <c r="D573">
        <v>35</v>
      </c>
    </row>
    <row r="574" spans="1:4" x14ac:dyDescent="0.3">
      <c r="A574" t="s">
        <v>26</v>
      </c>
      <c r="B574" t="s">
        <v>84</v>
      </c>
      <c r="C574">
        <v>2113.37</v>
      </c>
      <c r="D574">
        <v>28</v>
      </c>
    </row>
    <row r="575" spans="1:4" x14ac:dyDescent="0.3">
      <c r="A575" t="s">
        <v>27</v>
      </c>
      <c r="B575" t="s">
        <v>89</v>
      </c>
      <c r="C575">
        <v>2102.54</v>
      </c>
      <c r="D575">
        <v>29</v>
      </c>
    </row>
    <row r="576" spans="1:4" x14ac:dyDescent="0.3">
      <c r="A576" t="s">
        <v>61</v>
      </c>
      <c r="B576" t="s">
        <v>77</v>
      </c>
      <c r="C576">
        <v>2093.25</v>
      </c>
      <c r="D576">
        <v>12</v>
      </c>
    </row>
    <row r="577" spans="1:4" x14ac:dyDescent="0.3">
      <c r="A577" t="s">
        <v>65</v>
      </c>
      <c r="B577" t="s">
        <v>77</v>
      </c>
      <c r="C577">
        <v>2083.9</v>
      </c>
      <c r="D577">
        <v>22</v>
      </c>
    </row>
    <row r="578" spans="1:4" x14ac:dyDescent="0.3">
      <c r="A578" t="s">
        <v>8</v>
      </c>
      <c r="B578" t="s">
        <v>99</v>
      </c>
      <c r="C578">
        <v>2081.5700000000002</v>
      </c>
      <c r="D578">
        <v>17</v>
      </c>
    </row>
    <row r="579" spans="1:4" x14ac:dyDescent="0.3">
      <c r="A579" t="s">
        <v>22</v>
      </c>
      <c r="B579" t="s">
        <v>93</v>
      </c>
      <c r="C579">
        <v>2068.36</v>
      </c>
      <c r="D579">
        <v>4</v>
      </c>
    </row>
    <row r="580" spans="1:4" x14ac:dyDescent="0.3">
      <c r="A580" t="s">
        <v>42</v>
      </c>
      <c r="B580" t="s">
        <v>81</v>
      </c>
      <c r="C580">
        <v>2061.88</v>
      </c>
      <c r="D580">
        <v>13</v>
      </c>
    </row>
    <row r="581" spans="1:4" x14ac:dyDescent="0.3">
      <c r="A581" t="s">
        <v>34</v>
      </c>
      <c r="B581" t="s">
        <v>81</v>
      </c>
      <c r="C581">
        <v>2052.5100000000002</v>
      </c>
      <c r="D581">
        <v>14</v>
      </c>
    </row>
    <row r="582" spans="1:4" x14ac:dyDescent="0.3">
      <c r="A582" t="s">
        <v>20</v>
      </c>
      <c r="B582" t="s">
        <v>96</v>
      </c>
      <c r="C582">
        <v>2049.9899999999998</v>
      </c>
      <c r="D582">
        <v>2</v>
      </c>
    </row>
    <row r="583" spans="1:4" x14ac:dyDescent="0.3">
      <c r="A583" t="s">
        <v>38</v>
      </c>
      <c r="B583" t="s">
        <v>84</v>
      </c>
      <c r="C583">
        <v>2048.23</v>
      </c>
      <c r="D583">
        <v>16</v>
      </c>
    </row>
    <row r="584" spans="1:4" x14ac:dyDescent="0.3">
      <c r="A584" t="s">
        <v>9</v>
      </c>
      <c r="B584" t="s">
        <v>98</v>
      </c>
      <c r="C584">
        <v>2047.09</v>
      </c>
      <c r="D584">
        <v>14</v>
      </c>
    </row>
    <row r="585" spans="1:4" x14ac:dyDescent="0.3">
      <c r="A585" t="s">
        <v>60</v>
      </c>
      <c r="B585" t="s">
        <v>77</v>
      </c>
      <c r="C585">
        <v>2033.91</v>
      </c>
      <c r="D585">
        <v>28</v>
      </c>
    </row>
    <row r="586" spans="1:4" x14ac:dyDescent="0.3">
      <c r="A586" t="s">
        <v>6</v>
      </c>
      <c r="B586" t="s">
        <v>96</v>
      </c>
      <c r="C586">
        <v>2023.04</v>
      </c>
      <c r="D586">
        <v>19</v>
      </c>
    </row>
    <row r="587" spans="1:4" x14ac:dyDescent="0.3">
      <c r="A587" t="s">
        <v>26</v>
      </c>
      <c r="B587" t="s">
        <v>89</v>
      </c>
      <c r="C587">
        <v>2013.73</v>
      </c>
      <c r="D587">
        <v>14</v>
      </c>
    </row>
    <row r="588" spans="1:4" x14ac:dyDescent="0.3">
      <c r="A588" t="s">
        <v>27</v>
      </c>
      <c r="B588" t="s">
        <v>91</v>
      </c>
      <c r="C588">
        <v>2004.74</v>
      </c>
      <c r="D588">
        <v>22</v>
      </c>
    </row>
    <row r="589" spans="1:4" x14ac:dyDescent="0.3">
      <c r="A589" t="s">
        <v>15</v>
      </c>
      <c r="B589" t="s">
        <v>93</v>
      </c>
      <c r="C589">
        <v>2002.57</v>
      </c>
      <c r="D589">
        <v>13</v>
      </c>
    </row>
    <row r="590" spans="1:4" x14ac:dyDescent="0.3">
      <c r="A590" t="s">
        <v>39</v>
      </c>
      <c r="B590" t="s">
        <v>99</v>
      </c>
      <c r="C590">
        <v>1999</v>
      </c>
      <c r="D590">
        <v>1</v>
      </c>
    </row>
    <row r="591" spans="1:4" x14ac:dyDescent="0.3">
      <c r="A591" t="s">
        <v>39</v>
      </c>
      <c r="B591" t="s">
        <v>98</v>
      </c>
      <c r="C591">
        <v>1999</v>
      </c>
      <c r="D591">
        <v>1</v>
      </c>
    </row>
    <row r="592" spans="1:4" x14ac:dyDescent="0.3">
      <c r="A592" t="s">
        <v>47</v>
      </c>
      <c r="B592" t="s">
        <v>88</v>
      </c>
      <c r="C592">
        <v>1988</v>
      </c>
      <c r="D592">
        <v>7</v>
      </c>
    </row>
    <row r="593" spans="1:4" x14ac:dyDescent="0.3">
      <c r="A593" t="s">
        <v>16</v>
      </c>
      <c r="B593" t="s">
        <v>94</v>
      </c>
      <c r="C593">
        <v>1985.57</v>
      </c>
      <c r="D593">
        <v>16</v>
      </c>
    </row>
    <row r="594" spans="1:4" x14ac:dyDescent="0.3">
      <c r="A594" t="s">
        <v>13</v>
      </c>
      <c r="B594" t="s">
        <v>100</v>
      </c>
      <c r="C594">
        <v>1980.88</v>
      </c>
      <c r="D594">
        <v>5</v>
      </c>
    </row>
    <row r="595" spans="1:4" x14ac:dyDescent="0.3">
      <c r="A595" t="s">
        <v>21</v>
      </c>
      <c r="B595" t="s">
        <v>89</v>
      </c>
      <c r="C595">
        <v>1979.88</v>
      </c>
      <c r="D595">
        <v>11</v>
      </c>
    </row>
    <row r="596" spans="1:4" x14ac:dyDescent="0.3">
      <c r="A596" t="s">
        <v>46</v>
      </c>
      <c r="B596" t="s">
        <v>80</v>
      </c>
      <c r="C596">
        <v>1978.53</v>
      </c>
      <c r="D596">
        <v>21</v>
      </c>
    </row>
    <row r="597" spans="1:4" x14ac:dyDescent="0.3">
      <c r="A597" t="s">
        <v>38</v>
      </c>
      <c r="B597" t="s">
        <v>85</v>
      </c>
      <c r="C597">
        <v>1974.88</v>
      </c>
      <c r="D597">
        <v>7</v>
      </c>
    </row>
    <row r="598" spans="1:4" x14ac:dyDescent="0.3">
      <c r="A598" t="s">
        <v>25</v>
      </c>
      <c r="B598" t="s">
        <v>87</v>
      </c>
      <c r="C598">
        <v>1971.04</v>
      </c>
      <c r="D598">
        <v>37</v>
      </c>
    </row>
    <row r="599" spans="1:4" x14ac:dyDescent="0.3">
      <c r="A599" t="s">
        <v>40</v>
      </c>
      <c r="B599" t="s">
        <v>80</v>
      </c>
      <c r="C599">
        <v>1969.6</v>
      </c>
      <c r="D599">
        <v>12</v>
      </c>
    </row>
    <row r="600" spans="1:4" x14ac:dyDescent="0.3">
      <c r="A600" t="s">
        <v>14</v>
      </c>
      <c r="B600" t="s">
        <v>95</v>
      </c>
      <c r="C600">
        <v>1964.52</v>
      </c>
      <c r="D600">
        <v>23</v>
      </c>
    </row>
    <row r="601" spans="1:4" x14ac:dyDescent="0.3">
      <c r="A601" t="s">
        <v>8</v>
      </c>
      <c r="B601" t="s">
        <v>100</v>
      </c>
      <c r="C601">
        <v>1960.74</v>
      </c>
      <c r="D601">
        <v>11</v>
      </c>
    </row>
    <row r="602" spans="1:4" x14ac:dyDescent="0.3">
      <c r="A602" t="s">
        <v>50</v>
      </c>
      <c r="B602" t="s">
        <v>79</v>
      </c>
      <c r="C602">
        <v>1940.6</v>
      </c>
      <c r="D602">
        <v>20</v>
      </c>
    </row>
    <row r="603" spans="1:4" x14ac:dyDescent="0.3">
      <c r="A603" t="s">
        <v>36</v>
      </c>
      <c r="B603" t="s">
        <v>82</v>
      </c>
      <c r="C603">
        <v>1916.88</v>
      </c>
      <c r="D603">
        <v>5</v>
      </c>
    </row>
    <row r="604" spans="1:4" x14ac:dyDescent="0.3">
      <c r="A604" t="s">
        <v>55</v>
      </c>
      <c r="B604" t="s">
        <v>79</v>
      </c>
      <c r="C604">
        <v>1913.9</v>
      </c>
      <c r="D604">
        <v>20</v>
      </c>
    </row>
    <row r="605" spans="1:4" x14ac:dyDescent="0.3">
      <c r="A605" t="s">
        <v>53</v>
      </c>
      <c r="B605" t="s">
        <v>79</v>
      </c>
      <c r="C605">
        <v>1901.03</v>
      </c>
      <c r="D605">
        <v>28</v>
      </c>
    </row>
    <row r="606" spans="1:4" x14ac:dyDescent="0.3">
      <c r="A606" t="s">
        <v>30</v>
      </c>
      <c r="B606" t="s">
        <v>83</v>
      </c>
      <c r="C606">
        <v>1894.78</v>
      </c>
      <c r="D606">
        <v>5</v>
      </c>
    </row>
    <row r="607" spans="1:4" x14ac:dyDescent="0.3">
      <c r="A607" t="s">
        <v>41</v>
      </c>
      <c r="B607" t="s">
        <v>82</v>
      </c>
      <c r="C607">
        <v>1890.22</v>
      </c>
      <c r="D607">
        <v>20</v>
      </c>
    </row>
    <row r="608" spans="1:4" x14ac:dyDescent="0.3">
      <c r="A608" t="s">
        <v>10</v>
      </c>
      <c r="B608" t="s">
        <v>95</v>
      </c>
      <c r="C608">
        <v>1882.55</v>
      </c>
      <c r="D608">
        <v>22</v>
      </c>
    </row>
    <row r="609" spans="1:4" x14ac:dyDescent="0.3">
      <c r="A609" t="s">
        <v>14</v>
      </c>
      <c r="B609" t="s">
        <v>98</v>
      </c>
      <c r="C609">
        <v>1864.15</v>
      </c>
      <c r="D609">
        <v>12</v>
      </c>
    </row>
    <row r="610" spans="1:4" x14ac:dyDescent="0.3">
      <c r="A610" t="s">
        <v>36</v>
      </c>
      <c r="B610" t="s">
        <v>93</v>
      </c>
      <c r="C610">
        <v>1845.79</v>
      </c>
      <c r="D610">
        <v>4</v>
      </c>
    </row>
    <row r="611" spans="1:4" x14ac:dyDescent="0.3">
      <c r="A611" t="s">
        <v>6</v>
      </c>
      <c r="B611" t="s">
        <v>97</v>
      </c>
      <c r="C611">
        <v>1812.17</v>
      </c>
      <c r="D611">
        <v>14</v>
      </c>
    </row>
    <row r="612" spans="1:4" x14ac:dyDescent="0.3">
      <c r="A612" t="s">
        <v>5</v>
      </c>
      <c r="B612" t="s">
        <v>100</v>
      </c>
      <c r="C612">
        <v>1811.35</v>
      </c>
      <c r="D612">
        <v>11</v>
      </c>
    </row>
    <row r="613" spans="1:4" x14ac:dyDescent="0.3">
      <c r="A613" t="s">
        <v>16</v>
      </c>
      <c r="B613" t="s">
        <v>98</v>
      </c>
      <c r="C613">
        <v>1804.93</v>
      </c>
      <c r="D613">
        <v>12</v>
      </c>
    </row>
    <row r="614" spans="1:4" x14ac:dyDescent="0.3">
      <c r="A614" t="s">
        <v>32</v>
      </c>
      <c r="B614" t="s">
        <v>84</v>
      </c>
      <c r="C614">
        <v>1802.43</v>
      </c>
      <c r="D614">
        <v>15</v>
      </c>
    </row>
    <row r="615" spans="1:4" x14ac:dyDescent="0.3">
      <c r="A615" t="s">
        <v>16</v>
      </c>
      <c r="B615" t="s">
        <v>92</v>
      </c>
      <c r="C615">
        <v>1800.1</v>
      </c>
      <c r="D615">
        <v>21</v>
      </c>
    </row>
    <row r="616" spans="1:4" x14ac:dyDescent="0.3">
      <c r="A616" t="s">
        <v>28</v>
      </c>
      <c r="B616" t="s">
        <v>88</v>
      </c>
      <c r="C616">
        <v>1793.06</v>
      </c>
      <c r="D616">
        <v>9</v>
      </c>
    </row>
    <row r="617" spans="1:4" x14ac:dyDescent="0.3">
      <c r="A617" t="s">
        <v>16</v>
      </c>
      <c r="B617" t="s">
        <v>96</v>
      </c>
      <c r="C617">
        <v>1766.66</v>
      </c>
      <c r="D617">
        <v>12</v>
      </c>
    </row>
    <row r="618" spans="1:4" x14ac:dyDescent="0.3">
      <c r="A618" t="s">
        <v>53</v>
      </c>
      <c r="B618" t="s">
        <v>81</v>
      </c>
      <c r="C618">
        <v>1764.45</v>
      </c>
      <c r="D618">
        <v>15</v>
      </c>
    </row>
    <row r="619" spans="1:4" x14ac:dyDescent="0.3">
      <c r="A619" t="s">
        <v>23</v>
      </c>
      <c r="B619" t="s">
        <v>89</v>
      </c>
      <c r="C619">
        <v>1733.37</v>
      </c>
      <c r="D619">
        <v>9</v>
      </c>
    </row>
    <row r="620" spans="1:4" x14ac:dyDescent="0.3">
      <c r="A620" t="s">
        <v>6</v>
      </c>
      <c r="B620" t="s">
        <v>99</v>
      </c>
      <c r="C620">
        <v>1732.27</v>
      </c>
      <c r="D620">
        <v>15</v>
      </c>
    </row>
    <row r="621" spans="1:4" x14ac:dyDescent="0.3">
      <c r="A621" t="s">
        <v>26</v>
      </c>
      <c r="B621" t="s">
        <v>97</v>
      </c>
      <c r="C621">
        <v>1731.99</v>
      </c>
      <c r="D621">
        <v>5</v>
      </c>
    </row>
    <row r="622" spans="1:4" x14ac:dyDescent="0.3">
      <c r="A622" t="s">
        <v>19</v>
      </c>
      <c r="B622" t="s">
        <v>92</v>
      </c>
      <c r="C622">
        <v>1728</v>
      </c>
      <c r="D622">
        <v>19</v>
      </c>
    </row>
    <row r="623" spans="1:4" x14ac:dyDescent="0.3">
      <c r="A623" t="s">
        <v>54</v>
      </c>
      <c r="B623" t="s">
        <v>79</v>
      </c>
      <c r="C623">
        <v>1720.05</v>
      </c>
      <c r="D623">
        <v>17</v>
      </c>
    </row>
    <row r="624" spans="1:4" x14ac:dyDescent="0.3">
      <c r="A624" t="s">
        <v>28</v>
      </c>
      <c r="B624" t="s">
        <v>92</v>
      </c>
      <c r="C624">
        <v>1715.01</v>
      </c>
      <c r="D624">
        <v>8</v>
      </c>
    </row>
    <row r="625" spans="1:4" x14ac:dyDescent="0.3">
      <c r="A625" t="s">
        <v>23</v>
      </c>
      <c r="B625" t="s">
        <v>97</v>
      </c>
      <c r="C625">
        <v>1714.8</v>
      </c>
      <c r="D625">
        <v>3</v>
      </c>
    </row>
    <row r="626" spans="1:4" x14ac:dyDescent="0.3">
      <c r="A626" t="s">
        <v>37</v>
      </c>
      <c r="B626" t="s">
        <v>80</v>
      </c>
      <c r="C626">
        <v>1702.19</v>
      </c>
      <c r="D626">
        <v>12</v>
      </c>
    </row>
    <row r="627" spans="1:4" x14ac:dyDescent="0.3">
      <c r="A627" t="s">
        <v>45</v>
      </c>
      <c r="B627" t="s">
        <v>81</v>
      </c>
      <c r="C627">
        <v>1694.2</v>
      </c>
      <c r="D627">
        <v>27</v>
      </c>
    </row>
    <row r="628" spans="1:4" x14ac:dyDescent="0.3">
      <c r="A628" t="s">
        <v>32</v>
      </c>
      <c r="B628" t="s">
        <v>88</v>
      </c>
      <c r="C628">
        <v>1680.9</v>
      </c>
      <c r="D628">
        <v>7</v>
      </c>
    </row>
    <row r="629" spans="1:4" x14ac:dyDescent="0.3">
      <c r="A629" t="s">
        <v>7</v>
      </c>
      <c r="B629" t="s">
        <v>101</v>
      </c>
      <c r="C629">
        <v>1677.46</v>
      </c>
      <c r="D629">
        <v>9</v>
      </c>
    </row>
    <row r="630" spans="1:4" x14ac:dyDescent="0.3">
      <c r="A630" t="s">
        <v>43</v>
      </c>
      <c r="B630" t="s">
        <v>79</v>
      </c>
      <c r="C630">
        <v>1675.96</v>
      </c>
      <c r="D630">
        <v>14</v>
      </c>
    </row>
    <row r="631" spans="1:4" x14ac:dyDescent="0.3">
      <c r="A631" t="s">
        <v>26</v>
      </c>
      <c r="B631" t="s">
        <v>94</v>
      </c>
      <c r="C631">
        <v>1670.49</v>
      </c>
      <c r="D631">
        <v>7</v>
      </c>
    </row>
    <row r="632" spans="1:4" x14ac:dyDescent="0.3">
      <c r="A632" t="s">
        <v>28</v>
      </c>
      <c r="B632" t="s">
        <v>95</v>
      </c>
      <c r="C632">
        <v>1655.57</v>
      </c>
      <c r="D632">
        <v>6</v>
      </c>
    </row>
    <row r="633" spans="1:4" x14ac:dyDescent="0.3">
      <c r="A633" t="s">
        <v>26</v>
      </c>
      <c r="B633" t="s">
        <v>95</v>
      </c>
      <c r="C633">
        <v>1654.96</v>
      </c>
      <c r="D633">
        <v>6</v>
      </c>
    </row>
    <row r="634" spans="1:4" x14ac:dyDescent="0.3">
      <c r="A634" t="s">
        <v>13</v>
      </c>
      <c r="B634" t="s">
        <v>96</v>
      </c>
      <c r="C634">
        <v>1648.08</v>
      </c>
      <c r="D634">
        <v>13</v>
      </c>
    </row>
    <row r="635" spans="1:4" x14ac:dyDescent="0.3">
      <c r="A635" t="s">
        <v>5</v>
      </c>
      <c r="B635" t="s">
        <v>102</v>
      </c>
      <c r="C635">
        <v>1639.8</v>
      </c>
      <c r="D635">
        <v>7</v>
      </c>
    </row>
    <row r="636" spans="1:4" x14ac:dyDescent="0.3">
      <c r="A636" t="s">
        <v>35</v>
      </c>
      <c r="B636" t="s">
        <v>81</v>
      </c>
      <c r="C636">
        <v>1637.1</v>
      </c>
      <c r="D636">
        <v>13</v>
      </c>
    </row>
    <row r="637" spans="1:4" x14ac:dyDescent="0.3">
      <c r="A637" t="s">
        <v>29</v>
      </c>
      <c r="B637" t="s">
        <v>87</v>
      </c>
      <c r="C637">
        <v>1635.26</v>
      </c>
      <c r="D637">
        <v>13</v>
      </c>
    </row>
    <row r="638" spans="1:4" x14ac:dyDescent="0.3">
      <c r="A638" t="s">
        <v>29</v>
      </c>
      <c r="B638" t="s">
        <v>85</v>
      </c>
      <c r="C638">
        <v>1632.77</v>
      </c>
      <c r="D638">
        <v>12</v>
      </c>
    </row>
    <row r="639" spans="1:4" x14ac:dyDescent="0.3">
      <c r="A639" t="s">
        <v>35</v>
      </c>
      <c r="B639" t="s">
        <v>82</v>
      </c>
      <c r="C639">
        <v>1626.19</v>
      </c>
      <c r="D639">
        <v>12</v>
      </c>
    </row>
    <row r="640" spans="1:4" x14ac:dyDescent="0.3">
      <c r="A640" t="s">
        <v>53</v>
      </c>
      <c r="B640" t="s">
        <v>78</v>
      </c>
      <c r="C640">
        <v>1621.68</v>
      </c>
      <c r="D640">
        <v>29</v>
      </c>
    </row>
    <row r="641" spans="1:4" x14ac:dyDescent="0.3">
      <c r="A641" t="s">
        <v>24</v>
      </c>
      <c r="B641" t="s">
        <v>86</v>
      </c>
      <c r="C641">
        <v>1614.27</v>
      </c>
      <c r="D641">
        <v>18</v>
      </c>
    </row>
    <row r="642" spans="1:4" x14ac:dyDescent="0.3">
      <c r="A642" t="s">
        <v>24</v>
      </c>
      <c r="B642" t="s">
        <v>91</v>
      </c>
      <c r="C642">
        <v>1600.92</v>
      </c>
      <c r="D642">
        <v>11</v>
      </c>
    </row>
    <row r="643" spans="1:4" x14ac:dyDescent="0.3">
      <c r="A643" t="s">
        <v>41</v>
      </c>
      <c r="B643" t="s">
        <v>86</v>
      </c>
      <c r="C643">
        <v>1594.85</v>
      </c>
      <c r="D643">
        <v>8</v>
      </c>
    </row>
    <row r="644" spans="1:4" x14ac:dyDescent="0.3">
      <c r="A644" t="s">
        <v>38</v>
      </c>
      <c r="B644" t="s">
        <v>82</v>
      </c>
      <c r="C644">
        <v>1592.57</v>
      </c>
      <c r="D644">
        <v>10</v>
      </c>
    </row>
    <row r="645" spans="1:4" x14ac:dyDescent="0.3">
      <c r="A645" t="s">
        <v>64</v>
      </c>
      <c r="B645" t="s">
        <v>77</v>
      </c>
      <c r="C645">
        <v>1585.88</v>
      </c>
      <c r="D645">
        <v>18</v>
      </c>
    </row>
    <row r="646" spans="1:4" x14ac:dyDescent="0.3">
      <c r="A646" t="s">
        <v>31</v>
      </c>
      <c r="B646" t="s">
        <v>88</v>
      </c>
      <c r="C646">
        <v>1581.65</v>
      </c>
      <c r="D646">
        <v>7</v>
      </c>
    </row>
    <row r="647" spans="1:4" x14ac:dyDescent="0.3">
      <c r="A647" t="s">
        <v>39</v>
      </c>
      <c r="B647" t="s">
        <v>83</v>
      </c>
      <c r="C647">
        <v>1574.9</v>
      </c>
      <c r="D647">
        <v>3</v>
      </c>
    </row>
    <row r="648" spans="1:4" x14ac:dyDescent="0.3">
      <c r="A648" t="s">
        <v>47</v>
      </c>
      <c r="B648" t="s">
        <v>83</v>
      </c>
      <c r="C648">
        <v>1569.39</v>
      </c>
      <c r="D648">
        <v>7</v>
      </c>
    </row>
    <row r="649" spans="1:4" x14ac:dyDescent="0.3">
      <c r="A649" t="s">
        <v>9</v>
      </c>
      <c r="B649" t="s">
        <v>99</v>
      </c>
      <c r="C649">
        <v>1545.18</v>
      </c>
      <c r="D649">
        <v>10</v>
      </c>
    </row>
    <row r="650" spans="1:4" x14ac:dyDescent="0.3">
      <c r="A650" t="s">
        <v>35</v>
      </c>
      <c r="B650" t="s">
        <v>86</v>
      </c>
      <c r="C650">
        <v>1538.18</v>
      </c>
      <c r="D650">
        <v>11</v>
      </c>
    </row>
    <row r="651" spans="1:4" x14ac:dyDescent="0.3">
      <c r="A651" t="s">
        <v>30</v>
      </c>
      <c r="B651" t="s">
        <v>85</v>
      </c>
      <c r="C651">
        <v>1537.9</v>
      </c>
      <c r="D651">
        <v>3</v>
      </c>
    </row>
    <row r="652" spans="1:4" x14ac:dyDescent="0.3">
      <c r="A652" t="s">
        <v>56</v>
      </c>
      <c r="B652" t="s">
        <v>79</v>
      </c>
      <c r="C652">
        <v>1536.73</v>
      </c>
      <c r="D652">
        <v>14</v>
      </c>
    </row>
    <row r="653" spans="1:4" x14ac:dyDescent="0.3">
      <c r="A653" t="s">
        <v>43</v>
      </c>
      <c r="B653" t="s">
        <v>87</v>
      </c>
      <c r="C653">
        <v>1528.9</v>
      </c>
      <c r="D653">
        <v>4</v>
      </c>
    </row>
    <row r="654" spans="1:4" x14ac:dyDescent="0.3">
      <c r="A654" t="s">
        <v>34</v>
      </c>
      <c r="B654" t="s">
        <v>91</v>
      </c>
      <c r="C654">
        <v>1519.9</v>
      </c>
      <c r="D654">
        <v>2</v>
      </c>
    </row>
    <row r="655" spans="1:4" x14ac:dyDescent="0.3">
      <c r="A655" t="s">
        <v>29</v>
      </c>
      <c r="B655" t="s">
        <v>89</v>
      </c>
      <c r="C655">
        <v>1515.63</v>
      </c>
      <c r="D655">
        <v>7</v>
      </c>
    </row>
    <row r="656" spans="1:4" x14ac:dyDescent="0.3">
      <c r="A656" t="s">
        <v>9</v>
      </c>
      <c r="B656" t="s">
        <v>94</v>
      </c>
      <c r="C656">
        <v>1515.42</v>
      </c>
      <c r="D656">
        <v>15</v>
      </c>
    </row>
    <row r="657" spans="1:4" x14ac:dyDescent="0.3">
      <c r="A657" t="s">
        <v>25</v>
      </c>
      <c r="B657" t="s">
        <v>92</v>
      </c>
      <c r="C657">
        <v>1513.02</v>
      </c>
      <c r="D657">
        <v>20</v>
      </c>
    </row>
    <row r="658" spans="1:4" x14ac:dyDescent="0.3">
      <c r="A658" t="s">
        <v>42</v>
      </c>
      <c r="B658" t="s">
        <v>82</v>
      </c>
      <c r="C658">
        <v>1499.16</v>
      </c>
      <c r="D658">
        <v>10</v>
      </c>
    </row>
    <row r="659" spans="1:4" x14ac:dyDescent="0.3">
      <c r="A659" t="s">
        <v>22</v>
      </c>
      <c r="B659" t="s">
        <v>97</v>
      </c>
      <c r="C659">
        <v>1486.7</v>
      </c>
      <c r="D659">
        <v>3</v>
      </c>
    </row>
    <row r="660" spans="1:4" x14ac:dyDescent="0.3">
      <c r="A660" t="s">
        <v>33</v>
      </c>
      <c r="B660" t="s">
        <v>96</v>
      </c>
      <c r="C660">
        <v>1476.3</v>
      </c>
      <c r="D660">
        <v>1</v>
      </c>
    </row>
    <row r="661" spans="1:4" x14ac:dyDescent="0.3">
      <c r="A661" t="s">
        <v>17</v>
      </c>
      <c r="B661" t="s">
        <v>92</v>
      </c>
      <c r="C661">
        <v>1475.69</v>
      </c>
      <c r="D661">
        <v>26</v>
      </c>
    </row>
    <row r="662" spans="1:4" x14ac:dyDescent="0.3">
      <c r="A662" t="s">
        <v>23</v>
      </c>
      <c r="B662" t="s">
        <v>85</v>
      </c>
      <c r="C662">
        <v>1472.84</v>
      </c>
      <c r="D662">
        <v>9</v>
      </c>
    </row>
    <row r="663" spans="1:4" x14ac:dyDescent="0.3">
      <c r="A663" t="s">
        <v>43</v>
      </c>
      <c r="B663" t="s">
        <v>82</v>
      </c>
      <c r="C663">
        <v>1470.88</v>
      </c>
      <c r="D663">
        <v>13</v>
      </c>
    </row>
    <row r="664" spans="1:4" x14ac:dyDescent="0.3">
      <c r="A664" t="s">
        <v>19</v>
      </c>
      <c r="B664" t="s">
        <v>91</v>
      </c>
      <c r="C664">
        <v>1455.89</v>
      </c>
      <c r="D664">
        <v>16</v>
      </c>
    </row>
    <row r="665" spans="1:4" x14ac:dyDescent="0.3">
      <c r="A665" t="s">
        <v>27</v>
      </c>
      <c r="B665" t="s">
        <v>95</v>
      </c>
      <c r="C665">
        <v>1455.79</v>
      </c>
      <c r="D665">
        <v>7</v>
      </c>
    </row>
    <row r="666" spans="1:4" x14ac:dyDescent="0.3">
      <c r="A666" t="s">
        <v>50</v>
      </c>
      <c r="B666" t="s">
        <v>81</v>
      </c>
      <c r="C666">
        <v>1449.32</v>
      </c>
      <c r="D666">
        <v>10</v>
      </c>
    </row>
    <row r="667" spans="1:4" x14ac:dyDescent="0.3">
      <c r="A667" t="s">
        <v>66</v>
      </c>
      <c r="B667" t="s">
        <v>77</v>
      </c>
      <c r="C667">
        <v>1448.97</v>
      </c>
      <c r="D667">
        <v>20</v>
      </c>
    </row>
    <row r="668" spans="1:4" x14ac:dyDescent="0.3">
      <c r="A668" t="s">
        <v>46</v>
      </c>
      <c r="B668" t="s">
        <v>82</v>
      </c>
      <c r="C668">
        <v>1448.69</v>
      </c>
      <c r="D668">
        <v>14</v>
      </c>
    </row>
    <row r="669" spans="1:4" x14ac:dyDescent="0.3">
      <c r="A669" t="s">
        <v>15</v>
      </c>
      <c r="B669" t="s">
        <v>97</v>
      </c>
      <c r="C669">
        <v>1447.49</v>
      </c>
      <c r="D669">
        <v>8</v>
      </c>
    </row>
    <row r="670" spans="1:4" x14ac:dyDescent="0.3">
      <c r="A670" t="s">
        <v>25</v>
      </c>
      <c r="B670" t="s">
        <v>94</v>
      </c>
      <c r="C670">
        <v>1446.84</v>
      </c>
      <c r="D670">
        <v>22</v>
      </c>
    </row>
    <row r="671" spans="1:4" x14ac:dyDescent="0.3">
      <c r="A671" t="s">
        <v>30</v>
      </c>
      <c r="B671" t="s">
        <v>95</v>
      </c>
      <c r="C671">
        <v>1439.9</v>
      </c>
      <c r="D671">
        <v>2</v>
      </c>
    </row>
    <row r="672" spans="1:4" x14ac:dyDescent="0.3">
      <c r="A672" t="s">
        <v>20</v>
      </c>
      <c r="B672" t="s">
        <v>102</v>
      </c>
      <c r="C672">
        <v>1437</v>
      </c>
      <c r="D672">
        <v>1</v>
      </c>
    </row>
    <row r="673" spans="1:4" x14ac:dyDescent="0.3">
      <c r="A673" t="s">
        <v>41</v>
      </c>
      <c r="B673" t="s">
        <v>95</v>
      </c>
      <c r="C673">
        <v>1432.6</v>
      </c>
      <c r="D673">
        <v>22</v>
      </c>
    </row>
    <row r="674" spans="1:4" x14ac:dyDescent="0.3">
      <c r="A674" t="s">
        <v>38</v>
      </c>
      <c r="B674" t="s">
        <v>83</v>
      </c>
      <c r="C674">
        <v>1430.69</v>
      </c>
      <c r="D674">
        <v>14</v>
      </c>
    </row>
    <row r="675" spans="1:4" x14ac:dyDescent="0.3">
      <c r="A675" t="s">
        <v>43</v>
      </c>
      <c r="B675" t="s">
        <v>85</v>
      </c>
      <c r="C675">
        <v>1428.14</v>
      </c>
      <c r="D675">
        <v>6</v>
      </c>
    </row>
    <row r="676" spans="1:4" x14ac:dyDescent="0.3">
      <c r="A676" t="s">
        <v>31</v>
      </c>
      <c r="B676" t="s">
        <v>92</v>
      </c>
      <c r="C676">
        <v>1408</v>
      </c>
      <c r="D676">
        <v>7</v>
      </c>
    </row>
    <row r="677" spans="1:4" x14ac:dyDescent="0.3">
      <c r="A677" t="s">
        <v>34</v>
      </c>
      <c r="B677" t="s">
        <v>84</v>
      </c>
      <c r="C677">
        <v>1405.66</v>
      </c>
      <c r="D677">
        <v>7</v>
      </c>
    </row>
    <row r="678" spans="1:4" x14ac:dyDescent="0.3">
      <c r="A678" t="s">
        <v>21</v>
      </c>
      <c r="B678" t="s">
        <v>94</v>
      </c>
      <c r="C678">
        <v>1396.78</v>
      </c>
      <c r="D678">
        <v>7</v>
      </c>
    </row>
    <row r="679" spans="1:4" x14ac:dyDescent="0.3">
      <c r="A679" t="s">
        <v>51</v>
      </c>
      <c r="B679" t="s">
        <v>80</v>
      </c>
      <c r="C679">
        <v>1392.45</v>
      </c>
      <c r="D679">
        <v>14</v>
      </c>
    </row>
    <row r="680" spans="1:4" x14ac:dyDescent="0.3">
      <c r="A680" t="s">
        <v>36</v>
      </c>
      <c r="B680" t="s">
        <v>98</v>
      </c>
      <c r="C680">
        <v>1390.99</v>
      </c>
      <c r="D680">
        <v>2</v>
      </c>
    </row>
    <row r="681" spans="1:4" x14ac:dyDescent="0.3">
      <c r="A681" t="s">
        <v>5</v>
      </c>
      <c r="B681" t="s">
        <v>101</v>
      </c>
      <c r="C681">
        <v>1389.6</v>
      </c>
      <c r="D681">
        <v>4</v>
      </c>
    </row>
    <row r="682" spans="1:4" x14ac:dyDescent="0.3">
      <c r="A682" t="s">
        <v>12</v>
      </c>
      <c r="B682" t="s">
        <v>99</v>
      </c>
      <c r="C682">
        <v>1389.16</v>
      </c>
      <c r="D682">
        <v>10</v>
      </c>
    </row>
    <row r="683" spans="1:4" x14ac:dyDescent="0.3">
      <c r="A683" t="s">
        <v>4</v>
      </c>
      <c r="B683" t="s">
        <v>101</v>
      </c>
      <c r="C683">
        <v>1386.58</v>
      </c>
      <c r="D683">
        <v>6</v>
      </c>
    </row>
    <row r="684" spans="1:4" x14ac:dyDescent="0.3">
      <c r="A684" t="s">
        <v>18</v>
      </c>
      <c r="B684" t="s">
        <v>94</v>
      </c>
      <c r="C684">
        <v>1382.6</v>
      </c>
      <c r="D684">
        <v>9</v>
      </c>
    </row>
    <row r="685" spans="1:4" x14ac:dyDescent="0.3">
      <c r="A685" t="s">
        <v>23</v>
      </c>
      <c r="B685" t="s">
        <v>94</v>
      </c>
      <c r="C685">
        <v>1381.6</v>
      </c>
      <c r="D685">
        <v>5</v>
      </c>
    </row>
    <row r="686" spans="1:4" x14ac:dyDescent="0.3">
      <c r="A686" t="s">
        <v>34</v>
      </c>
      <c r="B686" t="s">
        <v>85</v>
      </c>
      <c r="C686">
        <v>1381.57</v>
      </c>
      <c r="D686">
        <v>10</v>
      </c>
    </row>
    <row r="687" spans="1:4" x14ac:dyDescent="0.3">
      <c r="A687" t="s">
        <v>4</v>
      </c>
      <c r="B687" t="s">
        <v>102</v>
      </c>
      <c r="C687">
        <v>1380.58</v>
      </c>
      <c r="D687">
        <v>10</v>
      </c>
    </row>
    <row r="688" spans="1:4" x14ac:dyDescent="0.3">
      <c r="A688" t="s">
        <v>28</v>
      </c>
      <c r="B688" t="s">
        <v>99</v>
      </c>
      <c r="C688">
        <v>1374.5</v>
      </c>
      <c r="D688">
        <v>4</v>
      </c>
    </row>
    <row r="689" spans="1:4" x14ac:dyDescent="0.3">
      <c r="A689" t="s">
        <v>48</v>
      </c>
      <c r="B689" t="s">
        <v>79</v>
      </c>
      <c r="C689">
        <v>1366.54</v>
      </c>
      <c r="D689">
        <v>18</v>
      </c>
    </row>
    <row r="690" spans="1:4" x14ac:dyDescent="0.3">
      <c r="A690" t="s">
        <v>29</v>
      </c>
      <c r="B690" t="s">
        <v>92</v>
      </c>
      <c r="C690">
        <v>1365.63</v>
      </c>
      <c r="D690">
        <v>9</v>
      </c>
    </row>
    <row r="691" spans="1:4" x14ac:dyDescent="0.3">
      <c r="A691" t="s">
        <v>7</v>
      </c>
      <c r="B691" t="s">
        <v>100</v>
      </c>
      <c r="C691">
        <v>1362.6</v>
      </c>
      <c r="D691">
        <v>12</v>
      </c>
    </row>
    <row r="692" spans="1:4" x14ac:dyDescent="0.3">
      <c r="A692" t="s">
        <v>57</v>
      </c>
      <c r="B692" t="s">
        <v>78</v>
      </c>
      <c r="C692">
        <v>1359.47</v>
      </c>
      <c r="D692">
        <v>14</v>
      </c>
    </row>
    <row r="693" spans="1:4" x14ac:dyDescent="0.3">
      <c r="A693" t="s">
        <v>41</v>
      </c>
      <c r="B693" t="s">
        <v>88</v>
      </c>
      <c r="C693">
        <v>1353.05</v>
      </c>
      <c r="D693">
        <v>7</v>
      </c>
    </row>
    <row r="694" spans="1:4" x14ac:dyDescent="0.3">
      <c r="A694" t="s">
        <v>7</v>
      </c>
      <c r="B694" t="s">
        <v>103</v>
      </c>
      <c r="C694">
        <v>1350.6</v>
      </c>
      <c r="D694">
        <v>6</v>
      </c>
    </row>
    <row r="695" spans="1:4" x14ac:dyDescent="0.3">
      <c r="A695" t="s">
        <v>31</v>
      </c>
      <c r="B695" t="s">
        <v>87</v>
      </c>
      <c r="C695">
        <v>1341.65</v>
      </c>
      <c r="D695">
        <v>6</v>
      </c>
    </row>
    <row r="696" spans="1:4" x14ac:dyDescent="0.3">
      <c r="A696" t="s">
        <v>20</v>
      </c>
      <c r="B696" t="s">
        <v>100</v>
      </c>
      <c r="C696">
        <v>1340</v>
      </c>
      <c r="D696">
        <v>1</v>
      </c>
    </row>
    <row r="697" spans="1:4" x14ac:dyDescent="0.3">
      <c r="A697" t="s">
        <v>26</v>
      </c>
      <c r="B697" t="s">
        <v>91</v>
      </c>
      <c r="C697">
        <v>1331.53</v>
      </c>
      <c r="D697">
        <v>6</v>
      </c>
    </row>
    <row r="698" spans="1:4" x14ac:dyDescent="0.3">
      <c r="A698" t="s">
        <v>26</v>
      </c>
      <c r="B698" t="s">
        <v>90</v>
      </c>
      <c r="C698">
        <v>1330.49</v>
      </c>
      <c r="D698">
        <v>9</v>
      </c>
    </row>
    <row r="699" spans="1:4" x14ac:dyDescent="0.3">
      <c r="A699" t="s">
        <v>40</v>
      </c>
      <c r="B699" t="s">
        <v>84</v>
      </c>
      <c r="C699">
        <v>1323.8</v>
      </c>
      <c r="D699">
        <v>5</v>
      </c>
    </row>
    <row r="700" spans="1:4" x14ac:dyDescent="0.3">
      <c r="A700" t="s">
        <v>9</v>
      </c>
      <c r="B700" t="s">
        <v>101</v>
      </c>
      <c r="C700">
        <v>1316.44</v>
      </c>
      <c r="D700">
        <v>7</v>
      </c>
    </row>
    <row r="701" spans="1:4" x14ac:dyDescent="0.3">
      <c r="A701" t="s">
        <v>34</v>
      </c>
      <c r="B701" t="s">
        <v>86</v>
      </c>
      <c r="C701">
        <v>1302.32</v>
      </c>
      <c r="D701">
        <v>10</v>
      </c>
    </row>
    <row r="702" spans="1:4" x14ac:dyDescent="0.3">
      <c r="A702" t="s">
        <v>32</v>
      </c>
      <c r="B702" t="s">
        <v>91</v>
      </c>
      <c r="C702">
        <v>1297.8</v>
      </c>
      <c r="D702">
        <v>3</v>
      </c>
    </row>
    <row r="703" spans="1:4" x14ac:dyDescent="0.3">
      <c r="A703" t="s">
        <v>16</v>
      </c>
      <c r="B703" t="s">
        <v>99</v>
      </c>
      <c r="C703">
        <v>1291.3</v>
      </c>
      <c r="D703">
        <v>6</v>
      </c>
    </row>
    <row r="704" spans="1:4" x14ac:dyDescent="0.3">
      <c r="A704" t="s">
        <v>8</v>
      </c>
      <c r="B704" t="s">
        <v>101</v>
      </c>
      <c r="C704">
        <v>1290.48</v>
      </c>
      <c r="D704">
        <v>7</v>
      </c>
    </row>
    <row r="705" spans="1:4" x14ac:dyDescent="0.3">
      <c r="A705" t="s">
        <v>10</v>
      </c>
      <c r="B705" t="s">
        <v>98</v>
      </c>
      <c r="C705">
        <v>1275.75</v>
      </c>
      <c r="D705">
        <v>12</v>
      </c>
    </row>
    <row r="706" spans="1:4" x14ac:dyDescent="0.3">
      <c r="A706" t="s">
        <v>43</v>
      </c>
      <c r="B706" t="s">
        <v>84</v>
      </c>
      <c r="C706">
        <v>1272</v>
      </c>
      <c r="D706">
        <v>5</v>
      </c>
    </row>
    <row r="707" spans="1:4" x14ac:dyDescent="0.3">
      <c r="A707" t="s">
        <v>58</v>
      </c>
      <c r="B707" t="s">
        <v>79</v>
      </c>
      <c r="C707">
        <v>1271.33</v>
      </c>
      <c r="D707">
        <v>18</v>
      </c>
    </row>
    <row r="708" spans="1:4" x14ac:dyDescent="0.3">
      <c r="A708" t="s">
        <v>17</v>
      </c>
      <c r="B708" t="s">
        <v>98</v>
      </c>
      <c r="C708">
        <v>1268.1199999999999</v>
      </c>
      <c r="D708">
        <v>20</v>
      </c>
    </row>
    <row r="709" spans="1:4" x14ac:dyDescent="0.3">
      <c r="A709" t="s">
        <v>10</v>
      </c>
      <c r="B709" t="s">
        <v>97</v>
      </c>
      <c r="C709">
        <v>1267.48</v>
      </c>
      <c r="D709">
        <v>8</v>
      </c>
    </row>
    <row r="710" spans="1:4" x14ac:dyDescent="0.3">
      <c r="A710" t="s">
        <v>41</v>
      </c>
      <c r="B710" t="s">
        <v>84</v>
      </c>
      <c r="C710">
        <v>1245.8900000000001</v>
      </c>
      <c r="D710">
        <v>17</v>
      </c>
    </row>
    <row r="711" spans="1:4" x14ac:dyDescent="0.3">
      <c r="A711" t="s">
        <v>18</v>
      </c>
      <c r="B711" t="s">
        <v>95</v>
      </c>
      <c r="C711">
        <v>1244.72</v>
      </c>
      <c r="D711">
        <v>5</v>
      </c>
    </row>
    <row r="712" spans="1:4" x14ac:dyDescent="0.3">
      <c r="A712" t="s">
        <v>36</v>
      </c>
      <c r="B712" t="s">
        <v>79</v>
      </c>
      <c r="C712">
        <v>1244.5999999999999</v>
      </c>
      <c r="D712">
        <v>17</v>
      </c>
    </row>
    <row r="713" spans="1:4" x14ac:dyDescent="0.3">
      <c r="A713" t="s">
        <v>28</v>
      </c>
      <c r="B713" t="s">
        <v>85</v>
      </c>
      <c r="C713">
        <v>1233.1600000000001</v>
      </c>
      <c r="D713">
        <v>8</v>
      </c>
    </row>
    <row r="714" spans="1:4" x14ac:dyDescent="0.3">
      <c r="A714" t="s">
        <v>18</v>
      </c>
      <c r="B714" t="s">
        <v>98</v>
      </c>
      <c r="C714">
        <v>1226.54</v>
      </c>
      <c r="D714">
        <v>5</v>
      </c>
    </row>
    <row r="715" spans="1:4" x14ac:dyDescent="0.3">
      <c r="A715" t="s">
        <v>49</v>
      </c>
      <c r="B715" t="s">
        <v>87</v>
      </c>
      <c r="C715">
        <v>1221.42</v>
      </c>
      <c r="D715">
        <v>11</v>
      </c>
    </row>
    <row r="716" spans="1:4" x14ac:dyDescent="0.3">
      <c r="A716" t="s">
        <v>12</v>
      </c>
      <c r="B716" t="s">
        <v>102</v>
      </c>
      <c r="C716">
        <v>1216.3900000000001</v>
      </c>
      <c r="D716">
        <v>3</v>
      </c>
    </row>
    <row r="717" spans="1:4" x14ac:dyDescent="0.3">
      <c r="A717" t="s">
        <v>43</v>
      </c>
      <c r="B717" t="s">
        <v>81</v>
      </c>
      <c r="C717">
        <v>1207.8699999999999</v>
      </c>
      <c r="D717">
        <v>10</v>
      </c>
    </row>
    <row r="718" spans="1:4" x14ac:dyDescent="0.3">
      <c r="A718" t="s">
        <v>13</v>
      </c>
      <c r="B718" t="s">
        <v>98</v>
      </c>
      <c r="C718">
        <v>1206.3</v>
      </c>
      <c r="D718">
        <v>8</v>
      </c>
    </row>
    <row r="719" spans="1:4" x14ac:dyDescent="0.3">
      <c r="A719" t="s">
        <v>29</v>
      </c>
      <c r="B719" t="s">
        <v>91</v>
      </c>
      <c r="C719">
        <v>1202.43</v>
      </c>
      <c r="D719">
        <v>8</v>
      </c>
    </row>
    <row r="720" spans="1:4" x14ac:dyDescent="0.3">
      <c r="A720" t="s">
        <v>20</v>
      </c>
      <c r="B720" t="s">
        <v>98</v>
      </c>
      <c r="C720">
        <v>1200</v>
      </c>
      <c r="D720">
        <v>1</v>
      </c>
    </row>
    <row r="721" spans="1:4" x14ac:dyDescent="0.3">
      <c r="A721" t="s">
        <v>20</v>
      </c>
      <c r="B721" t="s">
        <v>101</v>
      </c>
      <c r="C721">
        <v>1200</v>
      </c>
      <c r="D721">
        <v>1</v>
      </c>
    </row>
    <row r="722" spans="1:4" x14ac:dyDescent="0.3">
      <c r="A722" t="s">
        <v>38</v>
      </c>
      <c r="B722" t="s">
        <v>86</v>
      </c>
      <c r="C722">
        <v>1197.78</v>
      </c>
      <c r="D722">
        <v>13</v>
      </c>
    </row>
    <row r="723" spans="1:4" x14ac:dyDescent="0.3">
      <c r="A723" t="s">
        <v>28</v>
      </c>
      <c r="B723" t="s">
        <v>96</v>
      </c>
      <c r="C723">
        <v>1195</v>
      </c>
      <c r="D723">
        <v>2</v>
      </c>
    </row>
    <row r="724" spans="1:4" x14ac:dyDescent="0.3">
      <c r="A724" t="s">
        <v>18</v>
      </c>
      <c r="B724" t="s">
        <v>93</v>
      </c>
      <c r="C724">
        <v>1191.33</v>
      </c>
      <c r="D724">
        <v>7</v>
      </c>
    </row>
    <row r="725" spans="1:4" x14ac:dyDescent="0.3">
      <c r="A725" t="s">
        <v>29</v>
      </c>
      <c r="B725" t="s">
        <v>99</v>
      </c>
      <c r="C725">
        <v>1181.5999999999999</v>
      </c>
      <c r="D725">
        <v>6</v>
      </c>
    </row>
    <row r="726" spans="1:4" x14ac:dyDescent="0.3">
      <c r="A726" t="s">
        <v>44</v>
      </c>
      <c r="B726" t="s">
        <v>80</v>
      </c>
      <c r="C726">
        <v>1176.31</v>
      </c>
      <c r="D726">
        <v>7</v>
      </c>
    </row>
    <row r="727" spans="1:4" x14ac:dyDescent="0.3">
      <c r="A727" t="s">
        <v>35</v>
      </c>
      <c r="B727" t="s">
        <v>83</v>
      </c>
      <c r="C727">
        <v>1170.4000000000001</v>
      </c>
      <c r="D727">
        <v>10</v>
      </c>
    </row>
    <row r="728" spans="1:4" x14ac:dyDescent="0.3">
      <c r="A728" t="s">
        <v>61</v>
      </c>
      <c r="B728" t="s">
        <v>85</v>
      </c>
      <c r="C728">
        <v>1165.97</v>
      </c>
      <c r="D728">
        <v>1</v>
      </c>
    </row>
    <row r="729" spans="1:4" x14ac:dyDescent="0.3">
      <c r="A729" t="s">
        <v>41</v>
      </c>
      <c r="B729" t="s">
        <v>85</v>
      </c>
      <c r="C729">
        <v>1162.69</v>
      </c>
      <c r="D729">
        <v>12</v>
      </c>
    </row>
    <row r="730" spans="1:4" x14ac:dyDescent="0.3">
      <c r="A730" t="s">
        <v>27</v>
      </c>
      <c r="B730" t="s">
        <v>93</v>
      </c>
      <c r="C730">
        <v>1151.07</v>
      </c>
      <c r="D730">
        <v>12</v>
      </c>
    </row>
    <row r="731" spans="1:4" x14ac:dyDescent="0.3">
      <c r="A731" t="s">
        <v>30</v>
      </c>
      <c r="B731" t="s">
        <v>86</v>
      </c>
      <c r="C731">
        <v>1149.99</v>
      </c>
      <c r="D731">
        <v>3</v>
      </c>
    </row>
    <row r="732" spans="1:4" x14ac:dyDescent="0.3">
      <c r="A732" t="s">
        <v>21</v>
      </c>
      <c r="B732" t="s">
        <v>88</v>
      </c>
      <c r="C732">
        <v>1141.04</v>
      </c>
      <c r="D732">
        <v>13</v>
      </c>
    </row>
    <row r="733" spans="1:4" x14ac:dyDescent="0.3">
      <c r="A733" t="s">
        <v>29</v>
      </c>
      <c r="B733" t="s">
        <v>90</v>
      </c>
      <c r="C733">
        <v>1139.5899999999999</v>
      </c>
      <c r="D733">
        <v>8</v>
      </c>
    </row>
    <row r="734" spans="1:4" x14ac:dyDescent="0.3">
      <c r="A734" t="s">
        <v>53</v>
      </c>
      <c r="B734" t="s">
        <v>86</v>
      </c>
      <c r="C734">
        <v>1138.5999999999999</v>
      </c>
      <c r="D734">
        <v>14</v>
      </c>
    </row>
    <row r="735" spans="1:4" x14ac:dyDescent="0.3">
      <c r="A735" t="s">
        <v>19</v>
      </c>
      <c r="B735" t="s">
        <v>94</v>
      </c>
      <c r="C735">
        <v>1129.5999999999999</v>
      </c>
      <c r="D735">
        <v>9</v>
      </c>
    </row>
    <row r="736" spans="1:4" x14ac:dyDescent="0.3">
      <c r="A736" t="s">
        <v>32</v>
      </c>
      <c r="B736" t="s">
        <v>86</v>
      </c>
      <c r="C736">
        <v>1120.96</v>
      </c>
      <c r="D736">
        <v>15</v>
      </c>
    </row>
    <row r="737" spans="1:4" x14ac:dyDescent="0.3">
      <c r="A737" t="s">
        <v>54</v>
      </c>
      <c r="B737" t="s">
        <v>80</v>
      </c>
      <c r="C737">
        <v>1113.4000000000001</v>
      </c>
      <c r="D737">
        <v>8</v>
      </c>
    </row>
    <row r="738" spans="1:4" x14ac:dyDescent="0.3">
      <c r="A738" t="s">
        <v>35</v>
      </c>
      <c r="B738" t="s">
        <v>85</v>
      </c>
      <c r="C738">
        <v>1110.5</v>
      </c>
      <c r="D738">
        <v>8</v>
      </c>
    </row>
    <row r="739" spans="1:4" x14ac:dyDescent="0.3">
      <c r="A739" t="s">
        <v>33</v>
      </c>
      <c r="B739" t="s">
        <v>89</v>
      </c>
      <c r="C739">
        <v>1109.98</v>
      </c>
      <c r="D739">
        <v>2</v>
      </c>
    </row>
    <row r="740" spans="1:4" x14ac:dyDescent="0.3">
      <c r="A740" t="s">
        <v>60</v>
      </c>
      <c r="B740" t="s">
        <v>82</v>
      </c>
      <c r="C740">
        <v>1106.8900000000001</v>
      </c>
      <c r="D740">
        <v>4</v>
      </c>
    </row>
    <row r="741" spans="1:4" x14ac:dyDescent="0.3">
      <c r="A741" t="s">
        <v>25</v>
      </c>
      <c r="B741" t="s">
        <v>97</v>
      </c>
      <c r="C741">
        <v>1105.8399999999999</v>
      </c>
      <c r="D741">
        <v>13</v>
      </c>
    </row>
    <row r="742" spans="1:4" x14ac:dyDescent="0.3">
      <c r="A742" t="s">
        <v>17</v>
      </c>
      <c r="B742" t="s">
        <v>101</v>
      </c>
      <c r="C742">
        <v>1103.96</v>
      </c>
      <c r="D742">
        <v>5</v>
      </c>
    </row>
    <row r="743" spans="1:4" x14ac:dyDescent="0.3">
      <c r="A743" t="s">
        <v>64</v>
      </c>
      <c r="B743" t="s">
        <v>79</v>
      </c>
      <c r="C743">
        <v>1103</v>
      </c>
      <c r="D743">
        <v>4</v>
      </c>
    </row>
    <row r="744" spans="1:4" x14ac:dyDescent="0.3">
      <c r="A744" t="s">
        <v>14</v>
      </c>
      <c r="B744" t="s">
        <v>97</v>
      </c>
      <c r="C744">
        <v>1100.29</v>
      </c>
      <c r="D744">
        <v>11</v>
      </c>
    </row>
    <row r="745" spans="1:4" x14ac:dyDescent="0.3">
      <c r="A745" t="s">
        <v>18</v>
      </c>
      <c r="B745" t="s">
        <v>99</v>
      </c>
      <c r="C745">
        <v>1087.8599999999999</v>
      </c>
      <c r="D745">
        <v>5</v>
      </c>
    </row>
    <row r="746" spans="1:4" x14ac:dyDescent="0.3">
      <c r="A746" t="s">
        <v>28</v>
      </c>
      <c r="B746" t="s">
        <v>84</v>
      </c>
      <c r="C746">
        <v>1085.94</v>
      </c>
      <c r="D746">
        <v>10</v>
      </c>
    </row>
    <row r="747" spans="1:4" x14ac:dyDescent="0.3">
      <c r="A747" t="s">
        <v>31</v>
      </c>
      <c r="B747" t="s">
        <v>90</v>
      </c>
      <c r="C747">
        <v>1085.28</v>
      </c>
      <c r="D747">
        <v>6</v>
      </c>
    </row>
    <row r="748" spans="1:4" x14ac:dyDescent="0.3">
      <c r="A748" t="s">
        <v>50</v>
      </c>
      <c r="B748" t="s">
        <v>80</v>
      </c>
      <c r="C748">
        <v>1073.44</v>
      </c>
      <c r="D748">
        <v>14</v>
      </c>
    </row>
    <row r="749" spans="1:4" x14ac:dyDescent="0.3">
      <c r="A749" t="s">
        <v>54</v>
      </c>
      <c r="B749" t="s">
        <v>78</v>
      </c>
      <c r="C749">
        <v>1072.68</v>
      </c>
      <c r="D749">
        <v>9</v>
      </c>
    </row>
    <row r="750" spans="1:4" x14ac:dyDescent="0.3">
      <c r="A750" t="s">
        <v>51</v>
      </c>
      <c r="B750" t="s">
        <v>85</v>
      </c>
      <c r="C750">
        <v>1071.3399999999999</v>
      </c>
      <c r="D750">
        <v>5</v>
      </c>
    </row>
    <row r="751" spans="1:4" x14ac:dyDescent="0.3">
      <c r="A751" t="s">
        <v>57</v>
      </c>
      <c r="B751" t="s">
        <v>79</v>
      </c>
      <c r="C751">
        <v>1070.8</v>
      </c>
      <c r="D751">
        <v>13</v>
      </c>
    </row>
    <row r="752" spans="1:4" x14ac:dyDescent="0.3">
      <c r="A752" t="s">
        <v>33</v>
      </c>
      <c r="B752" t="s">
        <v>82</v>
      </c>
      <c r="C752">
        <v>1069.98</v>
      </c>
      <c r="D752">
        <v>3</v>
      </c>
    </row>
    <row r="753" spans="1:4" x14ac:dyDescent="0.3">
      <c r="A753" t="s">
        <v>49</v>
      </c>
      <c r="B753" t="s">
        <v>81</v>
      </c>
      <c r="C753">
        <v>1067.02</v>
      </c>
      <c r="D753">
        <v>16</v>
      </c>
    </row>
    <row r="754" spans="1:4" x14ac:dyDescent="0.3">
      <c r="A754" t="s">
        <v>29</v>
      </c>
      <c r="B754" t="s">
        <v>93</v>
      </c>
      <c r="C754">
        <v>1066.49</v>
      </c>
      <c r="D754">
        <v>7</v>
      </c>
    </row>
    <row r="755" spans="1:4" x14ac:dyDescent="0.3">
      <c r="A755" t="s">
        <v>44</v>
      </c>
      <c r="B755" t="s">
        <v>90</v>
      </c>
      <c r="C755">
        <v>1063.5899999999999</v>
      </c>
      <c r="D755">
        <v>4</v>
      </c>
    </row>
    <row r="756" spans="1:4" x14ac:dyDescent="0.3">
      <c r="A756" t="s">
        <v>56</v>
      </c>
      <c r="B756" t="s">
        <v>81</v>
      </c>
      <c r="C756">
        <v>1061.28</v>
      </c>
      <c r="D756">
        <v>10</v>
      </c>
    </row>
    <row r="757" spans="1:4" x14ac:dyDescent="0.3">
      <c r="A757" t="s">
        <v>70</v>
      </c>
      <c r="B757" t="s">
        <v>77</v>
      </c>
      <c r="C757">
        <v>1058.8900000000001</v>
      </c>
      <c r="D757">
        <v>18</v>
      </c>
    </row>
    <row r="758" spans="1:4" x14ac:dyDescent="0.3">
      <c r="A758" t="s">
        <v>14</v>
      </c>
      <c r="B758" t="s">
        <v>96</v>
      </c>
      <c r="C758">
        <v>1053.07</v>
      </c>
      <c r="D758">
        <v>12</v>
      </c>
    </row>
    <row r="759" spans="1:4" x14ac:dyDescent="0.3">
      <c r="A759" t="s">
        <v>40</v>
      </c>
      <c r="B759" t="s">
        <v>87</v>
      </c>
      <c r="C759">
        <v>1051.8800000000001</v>
      </c>
      <c r="D759">
        <v>4</v>
      </c>
    </row>
    <row r="760" spans="1:4" x14ac:dyDescent="0.3">
      <c r="A760" t="s">
        <v>4</v>
      </c>
      <c r="B760" t="s">
        <v>103</v>
      </c>
      <c r="C760">
        <v>1050.6099999999999</v>
      </c>
      <c r="D760">
        <v>6</v>
      </c>
    </row>
    <row r="761" spans="1:4" x14ac:dyDescent="0.3">
      <c r="A761" t="s">
        <v>51</v>
      </c>
      <c r="B761" t="s">
        <v>93</v>
      </c>
      <c r="C761">
        <v>1050</v>
      </c>
      <c r="D761">
        <v>1</v>
      </c>
    </row>
    <row r="762" spans="1:4" x14ac:dyDescent="0.3">
      <c r="A762" t="s">
        <v>24</v>
      </c>
      <c r="B762" t="s">
        <v>90</v>
      </c>
      <c r="C762">
        <v>1042.4000000000001</v>
      </c>
      <c r="D762">
        <v>12</v>
      </c>
    </row>
    <row r="763" spans="1:4" x14ac:dyDescent="0.3">
      <c r="A763" t="s">
        <v>27</v>
      </c>
      <c r="B763" t="s">
        <v>92</v>
      </c>
      <c r="C763">
        <v>1030.58</v>
      </c>
      <c r="D763">
        <v>14</v>
      </c>
    </row>
    <row r="764" spans="1:4" x14ac:dyDescent="0.3">
      <c r="A764" t="s">
        <v>59</v>
      </c>
      <c r="B764" t="s">
        <v>86</v>
      </c>
      <c r="C764">
        <v>1026.79</v>
      </c>
      <c r="D764">
        <v>4</v>
      </c>
    </row>
    <row r="765" spans="1:4" x14ac:dyDescent="0.3">
      <c r="A765" t="s">
        <v>49</v>
      </c>
      <c r="B765" t="s">
        <v>85</v>
      </c>
      <c r="C765">
        <v>1022.3</v>
      </c>
      <c r="D765">
        <v>6</v>
      </c>
    </row>
    <row r="766" spans="1:4" x14ac:dyDescent="0.3">
      <c r="A766" t="s">
        <v>32</v>
      </c>
      <c r="B766" t="s">
        <v>90</v>
      </c>
      <c r="C766">
        <v>1022.29</v>
      </c>
      <c r="D766">
        <v>8</v>
      </c>
    </row>
    <row r="767" spans="1:4" x14ac:dyDescent="0.3">
      <c r="A767" t="s">
        <v>10</v>
      </c>
      <c r="B767" t="s">
        <v>96</v>
      </c>
      <c r="C767">
        <v>1020.36</v>
      </c>
      <c r="D767">
        <v>9</v>
      </c>
    </row>
    <row r="768" spans="1:4" x14ac:dyDescent="0.3">
      <c r="A768" t="s">
        <v>65</v>
      </c>
      <c r="B768" t="s">
        <v>78</v>
      </c>
      <c r="C768">
        <v>1019.99</v>
      </c>
      <c r="D768">
        <v>8</v>
      </c>
    </row>
    <row r="769" spans="1:4" x14ac:dyDescent="0.3">
      <c r="A769" t="s">
        <v>61</v>
      </c>
      <c r="B769" t="s">
        <v>78</v>
      </c>
      <c r="C769">
        <v>1017.85</v>
      </c>
      <c r="D769">
        <v>8</v>
      </c>
    </row>
    <row r="770" spans="1:4" x14ac:dyDescent="0.3">
      <c r="A770" t="s">
        <v>30</v>
      </c>
      <c r="B770" t="s">
        <v>98</v>
      </c>
      <c r="C770">
        <v>1016.98</v>
      </c>
      <c r="D770">
        <v>3</v>
      </c>
    </row>
    <row r="771" spans="1:4" x14ac:dyDescent="0.3">
      <c r="A771" t="s">
        <v>44</v>
      </c>
      <c r="B771" t="s">
        <v>87</v>
      </c>
      <c r="C771">
        <v>1016.18</v>
      </c>
      <c r="D771">
        <v>4</v>
      </c>
    </row>
    <row r="772" spans="1:4" x14ac:dyDescent="0.3">
      <c r="A772" t="s">
        <v>47</v>
      </c>
      <c r="B772" t="s">
        <v>80</v>
      </c>
      <c r="C772">
        <v>1012.98</v>
      </c>
      <c r="D772">
        <v>7</v>
      </c>
    </row>
    <row r="773" spans="1:4" x14ac:dyDescent="0.3">
      <c r="A773" t="s">
        <v>42</v>
      </c>
      <c r="B773" t="s">
        <v>86</v>
      </c>
      <c r="C773">
        <v>1012.3</v>
      </c>
      <c r="D773">
        <v>5</v>
      </c>
    </row>
    <row r="774" spans="1:4" x14ac:dyDescent="0.3">
      <c r="A774" t="s">
        <v>6</v>
      </c>
      <c r="B774" t="s">
        <v>98</v>
      </c>
      <c r="C774">
        <v>1010.83</v>
      </c>
      <c r="D774">
        <v>9</v>
      </c>
    </row>
    <row r="775" spans="1:4" x14ac:dyDescent="0.3">
      <c r="A775" t="s">
        <v>18</v>
      </c>
      <c r="B775" t="s">
        <v>96</v>
      </c>
      <c r="C775">
        <v>1009.84</v>
      </c>
      <c r="D775">
        <v>3</v>
      </c>
    </row>
    <row r="776" spans="1:4" x14ac:dyDescent="0.3">
      <c r="A776" t="s">
        <v>23</v>
      </c>
      <c r="B776" t="s">
        <v>93</v>
      </c>
      <c r="C776">
        <v>1007.8</v>
      </c>
      <c r="D776">
        <v>4</v>
      </c>
    </row>
    <row r="777" spans="1:4" x14ac:dyDescent="0.3">
      <c r="A777" t="s">
        <v>29</v>
      </c>
      <c r="B777" t="s">
        <v>96</v>
      </c>
      <c r="C777">
        <v>999.36</v>
      </c>
      <c r="D777">
        <v>5</v>
      </c>
    </row>
    <row r="778" spans="1:4" x14ac:dyDescent="0.3">
      <c r="A778" t="s">
        <v>47</v>
      </c>
      <c r="B778" t="s">
        <v>87</v>
      </c>
      <c r="C778">
        <v>995.54</v>
      </c>
      <c r="D778">
        <v>6</v>
      </c>
    </row>
    <row r="779" spans="1:4" x14ac:dyDescent="0.3">
      <c r="A779" t="s">
        <v>45</v>
      </c>
      <c r="B779" t="s">
        <v>83</v>
      </c>
      <c r="C779">
        <v>991.41</v>
      </c>
      <c r="D779">
        <v>15</v>
      </c>
    </row>
    <row r="780" spans="1:4" x14ac:dyDescent="0.3">
      <c r="A780" t="s">
        <v>15</v>
      </c>
      <c r="B780" t="s">
        <v>103</v>
      </c>
      <c r="C780">
        <v>988.87</v>
      </c>
      <c r="D780">
        <v>2</v>
      </c>
    </row>
    <row r="781" spans="1:4" x14ac:dyDescent="0.3">
      <c r="A781" t="s">
        <v>25</v>
      </c>
      <c r="B781" t="s">
        <v>90</v>
      </c>
      <c r="C781">
        <v>985.66</v>
      </c>
      <c r="D781">
        <v>22</v>
      </c>
    </row>
    <row r="782" spans="1:4" x14ac:dyDescent="0.3">
      <c r="A782" t="s">
        <v>42</v>
      </c>
      <c r="B782" t="s">
        <v>85</v>
      </c>
      <c r="C782">
        <v>985</v>
      </c>
      <c r="D782">
        <v>5</v>
      </c>
    </row>
    <row r="783" spans="1:4" x14ac:dyDescent="0.3">
      <c r="A783" t="s">
        <v>21</v>
      </c>
      <c r="B783" t="s">
        <v>99</v>
      </c>
      <c r="C783">
        <v>975.53</v>
      </c>
      <c r="D783">
        <v>8</v>
      </c>
    </row>
    <row r="784" spans="1:4" x14ac:dyDescent="0.3">
      <c r="A784" t="s">
        <v>53</v>
      </c>
      <c r="B784" t="s">
        <v>82</v>
      </c>
      <c r="C784">
        <v>975.23</v>
      </c>
      <c r="D784">
        <v>9</v>
      </c>
    </row>
    <row r="785" spans="1:4" x14ac:dyDescent="0.3">
      <c r="A785" t="s">
        <v>35</v>
      </c>
      <c r="B785" t="s">
        <v>87</v>
      </c>
      <c r="C785">
        <v>970.4</v>
      </c>
      <c r="D785">
        <v>6</v>
      </c>
    </row>
    <row r="786" spans="1:4" x14ac:dyDescent="0.3">
      <c r="A786" t="s">
        <v>56</v>
      </c>
      <c r="B786" t="s">
        <v>78</v>
      </c>
      <c r="C786">
        <v>967.37</v>
      </c>
      <c r="D786">
        <v>12</v>
      </c>
    </row>
    <row r="787" spans="1:4" x14ac:dyDescent="0.3">
      <c r="A787" t="s">
        <v>45</v>
      </c>
      <c r="B787" t="s">
        <v>86</v>
      </c>
      <c r="C787">
        <v>963.69</v>
      </c>
      <c r="D787">
        <v>14</v>
      </c>
    </row>
    <row r="788" spans="1:4" x14ac:dyDescent="0.3">
      <c r="A788" t="s">
        <v>56</v>
      </c>
      <c r="B788" t="s">
        <v>83</v>
      </c>
      <c r="C788">
        <v>960.8</v>
      </c>
      <c r="D788">
        <v>7</v>
      </c>
    </row>
    <row r="789" spans="1:4" x14ac:dyDescent="0.3">
      <c r="A789" t="s">
        <v>30</v>
      </c>
      <c r="B789" t="s">
        <v>87</v>
      </c>
      <c r="C789">
        <v>959.99</v>
      </c>
      <c r="D789">
        <v>2</v>
      </c>
    </row>
    <row r="790" spans="1:4" x14ac:dyDescent="0.3">
      <c r="A790" t="s">
        <v>31</v>
      </c>
      <c r="B790" t="s">
        <v>93</v>
      </c>
      <c r="C790">
        <v>959.25</v>
      </c>
      <c r="D790">
        <v>5</v>
      </c>
    </row>
    <row r="791" spans="1:4" x14ac:dyDescent="0.3">
      <c r="A791" t="s">
        <v>32</v>
      </c>
      <c r="B791" t="s">
        <v>103</v>
      </c>
      <c r="C791">
        <v>954.18</v>
      </c>
      <c r="D791">
        <v>3</v>
      </c>
    </row>
    <row r="792" spans="1:4" x14ac:dyDescent="0.3">
      <c r="A792" t="s">
        <v>49</v>
      </c>
      <c r="B792" t="s">
        <v>84</v>
      </c>
      <c r="C792">
        <v>944.59</v>
      </c>
      <c r="D792">
        <v>7</v>
      </c>
    </row>
    <row r="793" spans="1:4" x14ac:dyDescent="0.3">
      <c r="A793" t="s">
        <v>37</v>
      </c>
      <c r="B793" t="s">
        <v>85</v>
      </c>
      <c r="C793">
        <v>940.89</v>
      </c>
      <c r="D793">
        <v>6</v>
      </c>
    </row>
    <row r="794" spans="1:4" x14ac:dyDescent="0.3">
      <c r="A794" t="s">
        <v>67</v>
      </c>
      <c r="B794" t="s">
        <v>77</v>
      </c>
      <c r="C794">
        <v>939.8</v>
      </c>
      <c r="D794">
        <v>12</v>
      </c>
    </row>
    <row r="795" spans="1:4" x14ac:dyDescent="0.3">
      <c r="A795" t="s">
        <v>46</v>
      </c>
      <c r="B795" t="s">
        <v>81</v>
      </c>
      <c r="C795">
        <v>928.94</v>
      </c>
      <c r="D795">
        <v>14</v>
      </c>
    </row>
    <row r="796" spans="1:4" x14ac:dyDescent="0.3">
      <c r="A796" t="s">
        <v>53</v>
      </c>
      <c r="B796" t="s">
        <v>80</v>
      </c>
      <c r="C796">
        <v>913.56</v>
      </c>
      <c r="D796">
        <v>12</v>
      </c>
    </row>
    <row r="797" spans="1:4" x14ac:dyDescent="0.3">
      <c r="A797" t="s">
        <v>59</v>
      </c>
      <c r="B797" t="s">
        <v>78</v>
      </c>
      <c r="C797">
        <v>907.79</v>
      </c>
      <c r="D797">
        <v>10</v>
      </c>
    </row>
    <row r="798" spans="1:4" x14ac:dyDescent="0.3">
      <c r="A798" t="s">
        <v>69</v>
      </c>
      <c r="B798" t="s">
        <v>77</v>
      </c>
      <c r="C798">
        <v>906.25</v>
      </c>
      <c r="D798">
        <v>15</v>
      </c>
    </row>
    <row r="799" spans="1:4" x14ac:dyDescent="0.3">
      <c r="A799" t="s">
        <v>42</v>
      </c>
      <c r="B799" t="s">
        <v>92</v>
      </c>
      <c r="C799">
        <v>904.98</v>
      </c>
      <c r="D799">
        <v>5</v>
      </c>
    </row>
    <row r="800" spans="1:4" x14ac:dyDescent="0.3">
      <c r="A800" t="s">
        <v>38</v>
      </c>
      <c r="B800" t="s">
        <v>88</v>
      </c>
      <c r="C800">
        <v>902.89</v>
      </c>
      <c r="D800">
        <v>5</v>
      </c>
    </row>
    <row r="801" spans="1:4" x14ac:dyDescent="0.3">
      <c r="A801" t="s">
        <v>41</v>
      </c>
      <c r="B801" t="s">
        <v>83</v>
      </c>
      <c r="C801">
        <v>902.7</v>
      </c>
      <c r="D801">
        <v>14</v>
      </c>
    </row>
    <row r="802" spans="1:4" x14ac:dyDescent="0.3">
      <c r="A802" t="s">
        <v>48</v>
      </c>
      <c r="B802" t="s">
        <v>83</v>
      </c>
      <c r="C802">
        <v>898.95</v>
      </c>
      <c r="D802">
        <v>10</v>
      </c>
    </row>
    <row r="803" spans="1:4" x14ac:dyDescent="0.3">
      <c r="A803" t="s">
        <v>37</v>
      </c>
      <c r="B803" t="s">
        <v>86</v>
      </c>
      <c r="C803">
        <v>898.8</v>
      </c>
      <c r="D803">
        <v>6</v>
      </c>
    </row>
    <row r="804" spans="1:4" x14ac:dyDescent="0.3">
      <c r="A804" t="s">
        <v>58</v>
      </c>
      <c r="B804" t="s">
        <v>82</v>
      </c>
      <c r="C804">
        <v>898.12</v>
      </c>
      <c r="D804">
        <v>11</v>
      </c>
    </row>
    <row r="805" spans="1:4" x14ac:dyDescent="0.3">
      <c r="A805" t="s">
        <v>50</v>
      </c>
      <c r="B805" t="s">
        <v>82</v>
      </c>
      <c r="C805">
        <v>891.91</v>
      </c>
      <c r="D805">
        <v>14</v>
      </c>
    </row>
    <row r="806" spans="1:4" x14ac:dyDescent="0.3">
      <c r="A806" t="s">
        <v>31</v>
      </c>
      <c r="B806" t="s">
        <v>97</v>
      </c>
      <c r="C806">
        <v>884.95</v>
      </c>
      <c r="D806">
        <v>3</v>
      </c>
    </row>
    <row r="807" spans="1:4" x14ac:dyDescent="0.3">
      <c r="A807" t="s">
        <v>44</v>
      </c>
      <c r="B807" t="s">
        <v>88</v>
      </c>
      <c r="C807">
        <v>882.63</v>
      </c>
      <c r="D807">
        <v>5</v>
      </c>
    </row>
    <row r="808" spans="1:4" x14ac:dyDescent="0.3">
      <c r="A808" t="s">
        <v>43</v>
      </c>
      <c r="B808" t="s">
        <v>94</v>
      </c>
      <c r="C808">
        <v>874.3</v>
      </c>
      <c r="D808">
        <v>3</v>
      </c>
    </row>
    <row r="809" spans="1:4" x14ac:dyDescent="0.3">
      <c r="A809" t="s">
        <v>26</v>
      </c>
      <c r="B809" t="s">
        <v>93</v>
      </c>
      <c r="C809">
        <v>873.38</v>
      </c>
      <c r="D809">
        <v>7</v>
      </c>
    </row>
    <row r="810" spans="1:4" x14ac:dyDescent="0.3">
      <c r="A810" t="s">
        <v>34</v>
      </c>
      <c r="B810" t="s">
        <v>97</v>
      </c>
      <c r="C810">
        <v>870.99</v>
      </c>
      <c r="D810">
        <v>2</v>
      </c>
    </row>
    <row r="811" spans="1:4" x14ac:dyDescent="0.3">
      <c r="A811" t="s">
        <v>16</v>
      </c>
      <c r="B811" t="s">
        <v>97</v>
      </c>
      <c r="C811">
        <v>868.72</v>
      </c>
      <c r="D811">
        <v>6</v>
      </c>
    </row>
    <row r="812" spans="1:4" x14ac:dyDescent="0.3">
      <c r="A812" t="s">
        <v>51</v>
      </c>
      <c r="B812" t="s">
        <v>86</v>
      </c>
      <c r="C812">
        <v>859.9</v>
      </c>
      <c r="D812">
        <v>4</v>
      </c>
    </row>
    <row r="813" spans="1:4" x14ac:dyDescent="0.3">
      <c r="A813" t="s">
        <v>25</v>
      </c>
      <c r="B813" t="s">
        <v>85</v>
      </c>
      <c r="C813">
        <v>854.75</v>
      </c>
      <c r="D813">
        <v>32</v>
      </c>
    </row>
    <row r="814" spans="1:4" x14ac:dyDescent="0.3">
      <c r="A814" t="s">
        <v>59</v>
      </c>
      <c r="B814" t="s">
        <v>79</v>
      </c>
      <c r="C814">
        <v>851.7</v>
      </c>
      <c r="D814">
        <v>9</v>
      </c>
    </row>
    <row r="815" spans="1:4" x14ac:dyDescent="0.3">
      <c r="A815" t="s">
        <v>49</v>
      </c>
      <c r="B815" t="s">
        <v>83</v>
      </c>
      <c r="C815">
        <v>851.5</v>
      </c>
      <c r="D815">
        <v>7</v>
      </c>
    </row>
    <row r="816" spans="1:4" x14ac:dyDescent="0.3">
      <c r="A816" t="s">
        <v>21</v>
      </c>
      <c r="B816" t="s">
        <v>91</v>
      </c>
      <c r="C816">
        <v>846.44</v>
      </c>
      <c r="D816">
        <v>9</v>
      </c>
    </row>
    <row r="817" spans="1:4" x14ac:dyDescent="0.3">
      <c r="A817" t="s">
        <v>37</v>
      </c>
      <c r="B817" t="s">
        <v>83</v>
      </c>
      <c r="C817">
        <v>832.86</v>
      </c>
      <c r="D817">
        <v>6</v>
      </c>
    </row>
    <row r="818" spans="1:4" x14ac:dyDescent="0.3">
      <c r="A818" t="s">
        <v>46</v>
      </c>
      <c r="B818" t="s">
        <v>86</v>
      </c>
      <c r="C818">
        <v>828.78</v>
      </c>
      <c r="D818">
        <v>7</v>
      </c>
    </row>
    <row r="819" spans="1:4" x14ac:dyDescent="0.3">
      <c r="A819" t="s">
        <v>60</v>
      </c>
      <c r="B819" t="s">
        <v>80</v>
      </c>
      <c r="C819">
        <v>821.58</v>
      </c>
      <c r="D819">
        <v>9</v>
      </c>
    </row>
    <row r="820" spans="1:4" x14ac:dyDescent="0.3">
      <c r="A820" t="s">
        <v>31</v>
      </c>
      <c r="B820" t="s">
        <v>94</v>
      </c>
      <c r="C820">
        <v>820.6</v>
      </c>
      <c r="D820">
        <v>4</v>
      </c>
    </row>
    <row r="821" spans="1:4" x14ac:dyDescent="0.3">
      <c r="A821" t="s">
        <v>30</v>
      </c>
      <c r="B821" t="s">
        <v>90</v>
      </c>
      <c r="C821">
        <v>815.79</v>
      </c>
      <c r="D821">
        <v>3</v>
      </c>
    </row>
    <row r="822" spans="1:4" x14ac:dyDescent="0.3">
      <c r="A822" t="s">
        <v>7</v>
      </c>
      <c r="B822" t="s">
        <v>102</v>
      </c>
      <c r="C822">
        <v>812.69</v>
      </c>
      <c r="D822">
        <v>6</v>
      </c>
    </row>
    <row r="823" spans="1:4" x14ac:dyDescent="0.3">
      <c r="A823" t="s">
        <v>52</v>
      </c>
      <c r="B823" t="s">
        <v>82</v>
      </c>
      <c r="C823">
        <v>803</v>
      </c>
      <c r="D823">
        <v>3</v>
      </c>
    </row>
    <row r="824" spans="1:4" x14ac:dyDescent="0.3">
      <c r="A824" t="s">
        <v>31</v>
      </c>
      <c r="B824" t="s">
        <v>84</v>
      </c>
      <c r="C824">
        <v>793.64</v>
      </c>
      <c r="D824">
        <v>7</v>
      </c>
    </row>
    <row r="825" spans="1:4" x14ac:dyDescent="0.3">
      <c r="A825" t="s">
        <v>42</v>
      </c>
      <c r="B825" t="s">
        <v>84</v>
      </c>
      <c r="C825">
        <v>788</v>
      </c>
      <c r="D825">
        <v>4</v>
      </c>
    </row>
    <row r="826" spans="1:4" x14ac:dyDescent="0.3">
      <c r="A826" t="s">
        <v>21</v>
      </c>
      <c r="B826" t="s">
        <v>93</v>
      </c>
      <c r="C826">
        <v>786.48</v>
      </c>
      <c r="D826">
        <v>8</v>
      </c>
    </row>
    <row r="827" spans="1:4" x14ac:dyDescent="0.3">
      <c r="A827" t="s">
        <v>22</v>
      </c>
      <c r="B827" t="s">
        <v>87</v>
      </c>
      <c r="C827">
        <v>781.89</v>
      </c>
      <c r="D827">
        <v>3</v>
      </c>
    </row>
    <row r="828" spans="1:4" x14ac:dyDescent="0.3">
      <c r="A828" t="s">
        <v>49</v>
      </c>
      <c r="B828" t="s">
        <v>86</v>
      </c>
      <c r="C828">
        <v>780.3</v>
      </c>
      <c r="D828">
        <v>5</v>
      </c>
    </row>
    <row r="829" spans="1:4" x14ac:dyDescent="0.3">
      <c r="A829" t="s">
        <v>28</v>
      </c>
      <c r="B829" t="s">
        <v>97</v>
      </c>
      <c r="C829">
        <v>779.9</v>
      </c>
      <c r="D829">
        <v>1</v>
      </c>
    </row>
    <row r="830" spans="1:4" x14ac:dyDescent="0.3">
      <c r="A830" t="s">
        <v>30</v>
      </c>
      <c r="B830" t="s">
        <v>92</v>
      </c>
      <c r="C830">
        <v>769.69</v>
      </c>
      <c r="D830">
        <v>3</v>
      </c>
    </row>
    <row r="831" spans="1:4" x14ac:dyDescent="0.3">
      <c r="A831" t="s">
        <v>17</v>
      </c>
      <c r="B831" t="s">
        <v>100</v>
      </c>
      <c r="C831">
        <v>766</v>
      </c>
      <c r="D831">
        <v>14</v>
      </c>
    </row>
    <row r="832" spans="1:4" x14ac:dyDescent="0.3">
      <c r="A832" t="s">
        <v>51</v>
      </c>
      <c r="B832" t="s">
        <v>79</v>
      </c>
      <c r="C832">
        <v>754.45</v>
      </c>
      <c r="D832">
        <v>10</v>
      </c>
    </row>
    <row r="833" spans="1:4" x14ac:dyDescent="0.3">
      <c r="A833" t="s">
        <v>31</v>
      </c>
      <c r="B833" t="s">
        <v>100</v>
      </c>
      <c r="C833">
        <v>753.4</v>
      </c>
      <c r="D833">
        <v>4</v>
      </c>
    </row>
    <row r="834" spans="1:4" x14ac:dyDescent="0.3">
      <c r="A834" t="s">
        <v>49</v>
      </c>
      <c r="B834" t="s">
        <v>82</v>
      </c>
      <c r="C834">
        <v>750.1</v>
      </c>
      <c r="D834">
        <v>5</v>
      </c>
    </row>
    <row r="835" spans="1:4" x14ac:dyDescent="0.3">
      <c r="A835" t="s">
        <v>39</v>
      </c>
      <c r="B835" t="s">
        <v>84</v>
      </c>
      <c r="C835">
        <v>750</v>
      </c>
      <c r="D835">
        <v>1</v>
      </c>
    </row>
    <row r="836" spans="1:4" x14ac:dyDescent="0.3">
      <c r="A836" t="s">
        <v>39</v>
      </c>
      <c r="B836" t="s">
        <v>92</v>
      </c>
      <c r="C836">
        <v>750</v>
      </c>
      <c r="D836">
        <v>1</v>
      </c>
    </row>
    <row r="837" spans="1:4" x14ac:dyDescent="0.3">
      <c r="A837" t="s">
        <v>39</v>
      </c>
      <c r="B837" t="s">
        <v>90</v>
      </c>
      <c r="C837">
        <v>750</v>
      </c>
      <c r="D837">
        <v>1</v>
      </c>
    </row>
    <row r="838" spans="1:4" x14ac:dyDescent="0.3">
      <c r="A838" t="s">
        <v>62</v>
      </c>
      <c r="B838" t="s">
        <v>91</v>
      </c>
      <c r="C838">
        <v>749</v>
      </c>
      <c r="D838">
        <v>1</v>
      </c>
    </row>
    <row r="839" spans="1:4" x14ac:dyDescent="0.3">
      <c r="A839" t="s">
        <v>45</v>
      </c>
      <c r="B839" t="s">
        <v>82</v>
      </c>
      <c r="C839">
        <v>747.44</v>
      </c>
      <c r="D839">
        <v>14</v>
      </c>
    </row>
    <row r="840" spans="1:4" x14ac:dyDescent="0.3">
      <c r="A840" t="s">
        <v>42</v>
      </c>
      <c r="B840" t="s">
        <v>83</v>
      </c>
      <c r="C840">
        <v>744.06</v>
      </c>
      <c r="D840">
        <v>6</v>
      </c>
    </row>
    <row r="841" spans="1:4" x14ac:dyDescent="0.3">
      <c r="A841" t="s">
        <v>49</v>
      </c>
      <c r="B841" t="s">
        <v>80</v>
      </c>
      <c r="C841">
        <v>742.8</v>
      </c>
      <c r="D841">
        <v>10</v>
      </c>
    </row>
    <row r="842" spans="1:4" x14ac:dyDescent="0.3">
      <c r="A842" t="s">
        <v>18</v>
      </c>
      <c r="B842" t="s">
        <v>92</v>
      </c>
      <c r="C842">
        <v>739.77</v>
      </c>
      <c r="D842">
        <v>4</v>
      </c>
    </row>
    <row r="843" spans="1:4" x14ac:dyDescent="0.3">
      <c r="A843" t="s">
        <v>45</v>
      </c>
      <c r="B843" t="s">
        <v>90</v>
      </c>
      <c r="C843">
        <v>734.4</v>
      </c>
      <c r="D843">
        <v>6</v>
      </c>
    </row>
    <row r="844" spans="1:4" x14ac:dyDescent="0.3">
      <c r="A844" t="s">
        <v>38</v>
      </c>
      <c r="B844" t="s">
        <v>91</v>
      </c>
      <c r="C844">
        <v>733.88</v>
      </c>
      <c r="D844">
        <v>3</v>
      </c>
    </row>
    <row r="845" spans="1:4" x14ac:dyDescent="0.3">
      <c r="A845" t="s">
        <v>36</v>
      </c>
      <c r="B845" t="s">
        <v>96</v>
      </c>
      <c r="C845">
        <v>731.87</v>
      </c>
      <c r="D845">
        <v>4</v>
      </c>
    </row>
    <row r="846" spans="1:4" x14ac:dyDescent="0.3">
      <c r="A846" t="s">
        <v>34</v>
      </c>
      <c r="B846" t="s">
        <v>96</v>
      </c>
      <c r="C846">
        <v>729.79</v>
      </c>
      <c r="D846">
        <v>3</v>
      </c>
    </row>
    <row r="847" spans="1:4" x14ac:dyDescent="0.3">
      <c r="A847" t="s">
        <v>68</v>
      </c>
      <c r="B847" t="s">
        <v>77</v>
      </c>
      <c r="C847">
        <v>729</v>
      </c>
      <c r="D847">
        <v>5</v>
      </c>
    </row>
    <row r="848" spans="1:4" x14ac:dyDescent="0.3">
      <c r="A848" t="s">
        <v>15</v>
      </c>
      <c r="B848" t="s">
        <v>96</v>
      </c>
      <c r="C848">
        <v>728.77</v>
      </c>
      <c r="D848">
        <v>7</v>
      </c>
    </row>
    <row r="849" spans="1:4" x14ac:dyDescent="0.3">
      <c r="A849" t="s">
        <v>45</v>
      </c>
      <c r="B849" t="s">
        <v>80</v>
      </c>
      <c r="C849">
        <v>727.82</v>
      </c>
      <c r="D849">
        <v>12</v>
      </c>
    </row>
    <row r="850" spans="1:4" x14ac:dyDescent="0.3">
      <c r="A850" t="s">
        <v>51</v>
      </c>
      <c r="B850" t="s">
        <v>83</v>
      </c>
      <c r="C850">
        <v>725.84</v>
      </c>
      <c r="D850">
        <v>6</v>
      </c>
    </row>
    <row r="851" spans="1:4" x14ac:dyDescent="0.3">
      <c r="A851" t="s">
        <v>12</v>
      </c>
      <c r="B851" t="s">
        <v>100</v>
      </c>
      <c r="C851">
        <v>723.9</v>
      </c>
      <c r="D851">
        <v>4</v>
      </c>
    </row>
    <row r="852" spans="1:4" x14ac:dyDescent="0.3">
      <c r="A852" t="s">
        <v>19</v>
      </c>
      <c r="B852" t="s">
        <v>99</v>
      </c>
      <c r="C852">
        <v>723.6</v>
      </c>
      <c r="D852">
        <v>7</v>
      </c>
    </row>
    <row r="853" spans="1:4" x14ac:dyDescent="0.3">
      <c r="A853" t="s">
        <v>14</v>
      </c>
      <c r="B853" t="s">
        <v>100</v>
      </c>
      <c r="C853">
        <v>721.56</v>
      </c>
      <c r="D853">
        <v>6</v>
      </c>
    </row>
    <row r="854" spans="1:4" x14ac:dyDescent="0.3">
      <c r="A854" t="s">
        <v>53</v>
      </c>
      <c r="B854" t="s">
        <v>83</v>
      </c>
      <c r="C854">
        <v>720.52</v>
      </c>
      <c r="D854">
        <v>10</v>
      </c>
    </row>
    <row r="855" spans="1:4" x14ac:dyDescent="0.3">
      <c r="A855" t="s">
        <v>40</v>
      </c>
      <c r="B855" t="s">
        <v>82</v>
      </c>
      <c r="C855">
        <v>714.48</v>
      </c>
      <c r="D855">
        <v>6</v>
      </c>
    </row>
    <row r="856" spans="1:4" x14ac:dyDescent="0.3">
      <c r="A856" t="s">
        <v>32</v>
      </c>
      <c r="B856" t="s">
        <v>85</v>
      </c>
      <c r="C856">
        <v>714.28</v>
      </c>
      <c r="D856">
        <v>14</v>
      </c>
    </row>
    <row r="857" spans="1:4" x14ac:dyDescent="0.3">
      <c r="A857" t="s">
        <v>31</v>
      </c>
      <c r="B857" t="s">
        <v>91</v>
      </c>
      <c r="C857">
        <v>713.76</v>
      </c>
      <c r="D857">
        <v>4</v>
      </c>
    </row>
    <row r="858" spans="1:4" x14ac:dyDescent="0.3">
      <c r="A858" t="s">
        <v>48</v>
      </c>
      <c r="B858" t="s">
        <v>81</v>
      </c>
      <c r="C858">
        <v>710.82</v>
      </c>
      <c r="D858">
        <v>9</v>
      </c>
    </row>
    <row r="859" spans="1:4" x14ac:dyDescent="0.3">
      <c r="A859" t="s">
        <v>58</v>
      </c>
      <c r="B859" t="s">
        <v>83</v>
      </c>
      <c r="C859">
        <v>703.21</v>
      </c>
      <c r="D859">
        <v>8</v>
      </c>
    </row>
    <row r="860" spans="1:4" x14ac:dyDescent="0.3">
      <c r="A860" t="s">
        <v>58</v>
      </c>
      <c r="B860" t="s">
        <v>89</v>
      </c>
      <c r="C860">
        <v>701.4</v>
      </c>
      <c r="D860">
        <v>1</v>
      </c>
    </row>
    <row r="861" spans="1:4" x14ac:dyDescent="0.3">
      <c r="A861" t="s">
        <v>27</v>
      </c>
      <c r="B861" t="s">
        <v>100</v>
      </c>
      <c r="C861">
        <v>699.99</v>
      </c>
      <c r="D861">
        <v>1</v>
      </c>
    </row>
    <row r="862" spans="1:4" x14ac:dyDescent="0.3">
      <c r="A862" t="s">
        <v>19</v>
      </c>
      <c r="B862" t="s">
        <v>100</v>
      </c>
      <c r="C862">
        <v>698.99</v>
      </c>
      <c r="D862">
        <v>6</v>
      </c>
    </row>
    <row r="863" spans="1:4" x14ac:dyDescent="0.3">
      <c r="A863" t="s">
        <v>15</v>
      </c>
      <c r="B863" t="s">
        <v>101</v>
      </c>
      <c r="C863">
        <v>697.84</v>
      </c>
      <c r="D863">
        <v>3</v>
      </c>
    </row>
    <row r="864" spans="1:4" x14ac:dyDescent="0.3">
      <c r="A864" t="s">
        <v>35</v>
      </c>
      <c r="B864" t="s">
        <v>90</v>
      </c>
      <c r="C864">
        <v>687.8</v>
      </c>
      <c r="D864">
        <v>3</v>
      </c>
    </row>
    <row r="865" spans="1:4" x14ac:dyDescent="0.3">
      <c r="A865" t="s">
        <v>35</v>
      </c>
      <c r="B865" t="s">
        <v>91</v>
      </c>
      <c r="C865">
        <v>685.9</v>
      </c>
      <c r="D865">
        <v>2</v>
      </c>
    </row>
    <row r="866" spans="1:4" x14ac:dyDescent="0.3">
      <c r="A866" t="s">
        <v>61</v>
      </c>
      <c r="B866" t="s">
        <v>79</v>
      </c>
      <c r="C866">
        <v>683.33</v>
      </c>
      <c r="D866">
        <v>6</v>
      </c>
    </row>
    <row r="867" spans="1:4" x14ac:dyDescent="0.3">
      <c r="A867" t="s">
        <v>6</v>
      </c>
      <c r="B867" t="s">
        <v>100</v>
      </c>
      <c r="C867">
        <v>681.2</v>
      </c>
      <c r="D867">
        <v>7</v>
      </c>
    </row>
    <row r="868" spans="1:4" x14ac:dyDescent="0.3">
      <c r="A868" t="s">
        <v>60</v>
      </c>
      <c r="B868" t="s">
        <v>90</v>
      </c>
      <c r="C868">
        <v>675.99</v>
      </c>
      <c r="D868">
        <v>1</v>
      </c>
    </row>
    <row r="869" spans="1:4" x14ac:dyDescent="0.3">
      <c r="A869" t="s">
        <v>53</v>
      </c>
      <c r="B869" t="s">
        <v>84</v>
      </c>
      <c r="C869">
        <v>672.8</v>
      </c>
      <c r="D869">
        <v>4</v>
      </c>
    </row>
    <row r="870" spans="1:4" x14ac:dyDescent="0.3">
      <c r="A870" t="s">
        <v>46</v>
      </c>
      <c r="B870" t="s">
        <v>91</v>
      </c>
      <c r="C870">
        <v>672.28</v>
      </c>
      <c r="D870">
        <v>4</v>
      </c>
    </row>
    <row r="871" spans="1:4" x14ac:dyDescent="0.3">
      <c r="A871" t="s">
        <v>55</v>
      </c>
      <c r="B871" t="s">
        <v>87</v>
      </c>
      <c r="C871">
        <v>672.01</v>
      </c>
      <c r="D871">
        <v>5</v>
      </c>
    </row>
    <row r="872" spans="1:4" x14ac:dyDescent="0.3">
      <c r="A872" t="s">
        <v>38</v>
      </c>
      <c r="B872" t="s">
        <v>90</v>
      </c>
      <c r="C872">
        <v>671.8</v>
      </c>
      <c r="D872">
        <v>4</v>
      </c>
    </row>
    <row r="873" spans="1:4" x14ac:dyDescent="0.3">
      <c r="A873" t="s">
        <v>6</v>
      </c>
      <c r="B873" t="s">
        <v>102</v>
      </c>
      <c r="C873">
        <v>669.5</v>
      </c>
      <c r="D873">
        <v>3</v>
      </c>
    </row>
    <row r="874" spans="1:4" x14ac:dyDescent="0.3">
      <c r="A874" t="s">
        <v>22</v>
      </c>
      <c r="B874" t="s">
        <v>86</v>
      </c>
      <c r="C874">
        <v>668.75</v>
      </c>
      <c r="D874">
        <v>3</v>
      </c>
    </row>
    <row r="875" spans="1:4" x14ac:dyDescent="0.3">
      <c r="A875" t="s">
        <v>17</v>
      </c>
      <c r="B875" t="s">
        <v>99</v>
      </c>
      <c r="C875">
        <v>668.07</v>
      </c>
      <c r="D875">
        <v>17</v>
      </c>
    </row>
    <row r="876" spans="1:4" x14ac:dyDescent="0.3">
      <c r="A876" t="s">
        <v>52</v>
      </c>
      <c r="B876" t="s">
        <v>83</v>
      </c>
      <c r="C876">
        <v>667</v>
      </c>
      <c r="D876">
        <v>4</v>
      </c>
    </row>
    <row r="877" spans="1:4" x14ac:dyDescent="0.3">
      <c r="A877" t="s">
        <v>27</v>
      </c>
      <c r="B877" t="s">
        <v>90</v>
      </c>
      <c r="C877">
        <v>665.37</v>
      </c>
      <c r="D877">
        <v>13</v>
      </c>
    </row>
    <row r="878" spans="1:4" x14ac:dyDescent="0.3">
      <c r="A878" t="s">
        <v>46</v>
      </c>
      <c r="B878" t="s">
        <v>90</v>
      </c>
      <c r="C878">
        <v>662.24</v>
      </c>
      <c r="D878">
        <v>5</v>
      </c>
    </row>
    <row r="879" spans="1:4" x14ac:dyDescent="0.3">
      <c r="A879" t="s">
        <v>40</v>
      </c>
      <c r="B879" t="s">
        <v>90</v>
      </c>
      <c r="C879">
        <v>660</v>
      </c>
      <c r="D879">
        <v>2</v>
      </c>
    </row>
    <row r="880" spans="1:4" x14ac:dyDescent="0.3">
      <c r="A880" t="s">
        <v>15</v>
      </c>
      <c r="B880" t="s">
        <v>100</v>
      </c>
      <c r="C880">
        <v>657.69</v>
      </c>
      <c r="D880">
        <v>5</v>
      </c>
    </row>
    <row r="881" spans="1:4" x14ac:dyDescent="0.3">
      <c r="A881" t="s">
        <v>19</v>
      </c>
      <c r="B881" t="s">
        <v>96</v>
      </c>
      <c r="C881">
        <v>655.01</v>
      </c>
      <c r="D881">
        <v>8</v>
      </c>
    </row>
    <row r="882" spans="1:4" x14ac:dyDescent="0.3">
      <c r="A882" t="s">
        <v>55</v>
      </c>
      <c r="B882" t="s">
        <v>81</v>
      </c>
      <c r="C882">
        <v>653.48</v>
      </c>
      <c r="D882">
        <v>13</v>
      </c>
    </row>
    <row r="883" spans="1:4" x14ac:dyDescent="0.3">
      <c r="A883" t="s">
        <v>32</v>
      </c>
      <c r="B883" t="s">
        <v>89</v>
      </c>
      <c r="C883">
        <v>650.54999999999995</v>
      </c>
      <c r="D883">
        <v>10</v>
      </c>
    </row>
    <row r="884" spans="1:4" x14ac:dyDescent="0.3">
      <c r="A884" t="s">
        <v>42</v>
      </c>
      <c r="B884" t="s">
        <v>90</v>
      </c>
      <c r="C884">
        <v>649.99</v>
      </c>
      <c r="D884">
        <v>3</v>
      </c>
    </row>
    <row r="885" spans="1:4" x14ac:dyDescent="0.3">
      <c r="A885" t="s">
        <v>47</v>
      </c>
      <c r="B885" t="s">
        <v>81</v>
      </c>
      <c r="C885">
        <v>648.59</v>
      </c>
      <c r="D885">
        <v>5</v>
      </c>
    </row>
    <row r="886" spans="1:4" x14ac:dyDescent="0.3">
      <c r="A886" t="s">
        <v>41</v>
      </c>
      <c r="B886" t="s">
        <v>87</v>
      </c>
      <c r="C886">
        <v>643.08000000000004</v>
      </c>
      <c r="D886">
        <v>8</v>
      </c>
    </row>
    <row r="887" spans="1:4" x14ac:dyDescent="0.3">
      <c r="A887" t="s">
        <v>39</v>
      </c>
      <c r="B887" t="s">
        <v>87</v>
      </c>
      <c r="C887">
        <v>640.99</v>
      </c>
      <c r="D887">
        <v>1</v>
      </c>
    </row>
    <row r="888" spans="1:4" x14ac:dyDescent="0.3">
      <c r="A888" t="s">
        <v>11</v>
      </c>
      <c r="B888" t="s">
        <v>100</v>
      </c>
      <c r="C888">
        <v>638.88</v>
      </c>
      <c r="D888">
        <v>4</v>
      </c>
    </row>
    <row r="889" spans="1:4" x14ac:dyDescent="0.3">
      <c r="A889" t="s">
        <v>56</v>
      </c>
      <c r="B889" t="s">
        <v>80</v>
      </c>
      <c r="C889">
        <v>638.79</v>
      </c>
      <c r="D889">
        <v>7</v>
      </c>
    </row>
    <row r="890" spans="1:4" x14ac:dyDescent="0.3">
      <c r="A890" t="s">
        <v>57</v>
      </c>
      <c r="B890" t="s">
        <v>83</v>
      </c>
      <c r="C890">
        <v>638.70000000000005</v>
      </c>
      <c r="D890">
        <v>6</v>
      </c>
    </row>
    <row r="891" spans="1:4" x14ac:dyDescent="0.3">
      <c r="A891" t="s">
        <v>24</v>
      </c>
      <c r="B891" t="s">
        <v>92</v>
      </c>
      <c r="C891">
        <v>635.96</v>
      </c>
      <c r="D891">
        <v>9</v>
      </c>
    </row>
    <row r="892" spans="1:4" x14ac:dyDescent="0.3">
      <c r="A892" t="s">
        <v>41</v>
      </c>
      <c r="B892" t="s">
        <v>101</v>
      </c>
      <c r="C892">
        <v>633.79999999999995</v>
      </c>
      <c r="D892">
        <v>2</v>
      </c>
    </row>
    <row r="893" spans="1:4" x14ac:dyDescent="0.3">
      <c r="A893" t="s">
        <v>27</v>
      </c>
      <c r="B893" t="s">
        <v>99</v>
      </c>
      <c r="C893">
        <v>632.49</v>
      </c>
      <c r="D893">
        <v>7</v>
      </c>
    </row>
    <row r="894" spans="1:4" x14ac:dyDescent="0.3">
      <c r="A894" t="s">
        <v>31</v>
      </c>
      <c r="B894" t="s">
        <v>96</v>
      </c>
      <c r="C894">
        <v>630.75</v>
      </c>
      <c r="D894">
        <v>3</v>
      </c>
    </row>
    <row r="895" spans="1:4" x14ac:dyDescent="0.3">
      <c r="A895" t="s">
        <v>29</v>
      </c>
      <c r="B895" t="s">
        <v>94</v>
      </c>
      <c r="C895">
        <v>630.59</v>
      </c>
      <c r="D895">
        <v>5</v>
      </c>
    </row>
    <row r="896" spans="1:4" x14ac:dyDescent="0.3">
      <c r="A896" t="s">
        <v>13</v>
      </c>
      <c r="B896" t="s">
        <v>101</v>
      </c>
      <c r="C896">
        <v>629</v>
      </c>
      <c r="D896">
        <v>2</v>
      </c>
    </row>
    <row r="897" spans="1:4" x14ac:dyDescent="0.3">
      <c r="A897" t="s">
        <v>51</v>
      </c>
      <c r="B897" t="s">
        <v>84</v>
      </c>
      <c r="C897">
        <v>626.03</v>
      </c>
      <c r="D897">
        <v>4</v>
      </c>
    </row>
    <row r="898" spans="1:4" x14ac:dyDescent="0.3">
      <c r="A898" t="s">
        <v>44</v>
      </c>
      <c r="B898" t="s">
        <v>85</v>
      </c>
      <c r="C898">
        <v>622.4</v>
      </c>
      <c r="D898">
        <v>6</v>
      </c>
    </row>
    <row r="899" spans="1:4" x14ac:dyDescent="0.3">
      <c r="A899" t="s">
        <v>51</v>
      </c>
      <c r="B899" t="s">
        <v>82</v>
      </c>
      <c r="C899">
        <v>612.5</v>
      </c>
      <c r="D899">
        <v>5</v>
      </c>
    </row>
    <row r="900" spans="1:4" x14ac:dyDescent="0.3">
      <c r="A900" t="s">
        <v>6</v>
      </c>
      <c r="B900" t="s">
        <v>103</v>
      </c>
      <c r="C900">
        <v>609.70000000000005</v>
      </c>
      <c r="D900">
        <v>2</v>
      </c>
    </row>
    <row r="901" spans="1:4" x14ac:dyDescent="0.3">
      <c r="A901" t="s">
        <v>25</v>
      </c>
      <c r="B901" t="s">
        <v>102</v>
      </c>
      <c r="C901">
        <v>607.54999999999995</v>
      </c>
      <c r="D901">
        <v>3</v>
      </c>
    </row>
    <row r="902" spans="1:4" x14ac:dyDescent="0.3">
      <c r="A902" t="s">
        <v>45</v>
      </c>
      <c r="B902" t="s">
        <v>87</v>
      </c>
      <c r="C902">
        <v>603.54999999999995</v>
      </c>
      <c r="D902">
        <v>8</v>
      </c>
    </row>
    <row r="903" spans="1:4" x14ac:dyDescent="0.3">
      <c r="A903" t="s">
        <v>34</v>
      </c>
      <c r="B903" t="s">
        <v>88</v>
      </c>
      <c r="C903">
        <v>602.98</v>
      </c>
      <c r="D903">
        <v>2</v>
      </c>
    </row>
    <row r="904" spans="1:4" x14ac:dyDescent="0.3">
      <c r="A904" t="s">
        <v>58</v>
      </c>
      <c r="B904" t="s">
        <v>78</v>
      </c>
      <c r="C904">
        <v>602.33000000000004</v>
      </c>
      <c r="D904">
        <v>11</v>
      </c>
    </row>
    <row r="905" spans="1:4" x14ac:dyDescent="0.3">
      <c r="A905" t="s">
        <v>47</v>
      </c>
      <c r="B905" t="s">
        <v>93</v>
      </c>
      <c r="C905">
        <v>599.9</v>
      </c>
      <c r="D905">
        <v>1</v>
      </c>
    </row>
    <row r="906" spans="1:4" x14ac:dyDescent="0.3">
      <c r="A906" t="s">
        <v>37</v>
      </c>
      <c r="B906" t="s">
        <v>82</v>
      </c>
      <c r="C906">
        <v>599.6</v>
      </c>
      <c r="D906">
        <v>1</v>
      </c>
    </row>
    <row r="907" spans="1:4" x14ac:dyDescent="0.3">
      <c r="A907" t="s">
        <v>30</v>
      </c>
      <c r="B907" t="s">
        <v>94</v>
      </c>
      <c r="C907">
        <v>599.5</v>
      </c>
      <c r="D907">
        <v>1</v>
      </c>
    </row>
    <row r="908" spans="1:4" x14ac:dyDescent="0.3">
      <c r="A908" t="s">
        <v>35</v>
      </c>
      <c r="B908" t="s">
        <v>98</v>
      </c>
      <c r="C908">
        <v>599</v>
      </c>
      <c r="D908">
        <v>1</v>
      </c>
    </row>
    <row r="909" spans="1:4" x14ac:dyDescent="0.3">
      <c r="A909" t="s">
        <v>20</v>
      </c>
      <c r="B909" t="s">
        <v>92</v>
      </c>
      <c r="C909">
        <v>599</v>
      </c>
      <c r="D909">
        <v>1</v>
      </c>
    </row>
    <row r="910" spans="1:4" x14ac:dyDescent="0.3">
      <c r="A910" t="s">
        <v>9</v>
      </c>
      <c r="B910" t="s">
        <v>103</v>
      </c>
      <c r="C910">
        <v>590.99</v>
      </c>
      <c r="D910">
        <v>4</v>
      </c>
    </row>
    <row r="911" spans="1:4" x14ac:dyDescent="0.3">
      <c r="A911" t="s">
        <v>33</v>
      </c>
      <c r="B911" t="s">
        <v>102</v>
      </c>
      <c r="C911">
        <v>589.99</v>
      </c>
      <c r="D911">
        <v>1</v>
      </c>
    </row>
    <row r="912" spans="1:4" x14ac:dyDescent="0.3">
      <c r="A912" t="s">
        <v>44</v>
      </c>
      <c r="B912" t="s">
        <v>93</v>
      </c>
      <c r="C912">
        <v>589.9</v>
      </c>
      <c r="D912">
        <v>3</v>
      </c>
    </row>
    <row r="913" spans="1:4" x14ac:dyDescent="0.3">
      <c r="A913" t="s">
        <v>54</v>
      </c>
      <c r="B913" t="s">
        <v>83</v>
      </c>
      <c r="C913">
        <v>589.70000000000005</v>
      </c>
      <c r="D913">
        <v>4</v>
      </c>
    </row>
    <row r="914" spans="1:4" x14ac:dyDescent="0.3">
      <c r="A914" t="s">
        <v>37</v>
      </c>
      <c r="B914" t="s">
        <v>90</v>
      </c>
      <c r="C914">
        <v>585.79999999999995</v>
      </c>
      <c r="D914">
        <v>3</v>
      </c>
    </row>
    <row r="915" spans="1:4" x14ac:dyDescent="0.3">
      <c r="A915" t="s">
        <v>24</v>
      </c>
      <c r="B915" t="s">
        <v>99</v>
      </c>
      <c r="C915">
        <v>579.66</v>
      </c>
      <c r="D915">
        <v>5</v>
      </c>
    </row>
    <row r="916" spans="1:4" x14ac:dyDescent="0.3">
      <c r="A916" t="s">
        <v>34</v>
      </c>
      <c r="B916" t="s">
        <v>87</v>
      </c>
      <c r="C916">
        <v>578.79</v>
      </c>
      <c r="D916">
        <v>4</v>
      </c>
    </row>
    <row r="917" spans="1:4" x14ac:dyDescent="0.3">
      <c r="A917" t="s">
        <v>24</v>
      </c>
      <c r="B917" t="s">
        <v>95</v>
      </c>
      <c r="C917">
        <v>578.54</v>
      </c>
      <c r="D917">
        <v>6</v>
      </c>
    </row>
    <row r="918" spans="1:4" x14ac:dyDescent="0.3">
      <c r="A918" t="s">
        <v>36</v>
      </c>
      <c r="B918" t="s">
        <v>89</v>
      </c>
      <c r="C918">
        <v>577.99</v>
      </c>
      <c r="D918">
        <v>1</v>
      </c>
    </row>
    <row r="919" spans="1:4" x14ac:dyDescent="0.3">
      <c r="A919" t="s">
        <v>48</v>
      </c>
      <c r="B919" t="s">
        <v>80</v>
      </c>
      <c r="C919">
        <v>576.44000000000005</v>
      </c>
      <c r="D919">
        <v>8</v>
      </c>
    </row>
    <row r="920" spans="1:4" x14ac:dyDescent="0.3">
      <c r="A920" t="s">
        <v>24</v>
      </c>
      <c r="B920" t="s">
        <v>96</v>
      </c>
      <c r="C920">
        <v>574.98</v>
      </c>
      <c r="D920">
        <v>4</v>
      </c>
    </row>
    <row r="921" spans="1:4" x14ac:dyDescent="0.3">
      <c r="A921" t="s">
        <v>24</v>
      </c>
      <c r="B921" t="s">
        <v>94</v>
      </c>
      <c r="C921">
        <v>574.16999999999996</v>
      </c>
      <c r="D921">
        <v>7</v>
      </c>
    </row>
    <row r="922" spans="1:4" x14ac:dyDescent="0.3">
      <c r="A922" t="s">
        <v>38</v>
      </c>
      <c r="B922" t="s">
        <v>89</v>
      </c>
      <c r="C922">
        <v>568</v>
      </c>
      <c r="D922">
        <v>1</v>
      </c>
    </row>
    <row r="923" spans="1:4" x14ac:dyDescent="0.3">
      <c r="A923" t="s">
        <v>6</v>
      </c>
      <c r="B923" t="s">
        <v>101</v>
      </c>
      <c r="C923">
        <v>567.70000000000005</v>
      </c>
      <c r="D923">
        <v>3</v>
      </c>
    </row>
    <row r="924" spans="1:4" x14ac:dyDescent="0.3">
      <c r="A924" t="s">
        <v>48</v>
      </c>
      <c r="B924" t="s">
        <v>84</v>
      </c>
      <c r="C924">
        <v>565.79</v>
      </c>
      <c r="D924">
        <v>6</v>
      </c>
    </row>
    <row r="925" spans="1:4" x14ac:dyDescent="0.3">
      <c r="A925" t="s">
        <v>65</v>
      </c>
      <c r="B925" t="s">
        <v>79</v>
      </c>
      <c r="C925">
        <v>561.49</v>
      </c>
      <c r="D925">
        <v>3</v>
      </c>
    </row>
    <row r="926" spans="1:4" x14ac:dyDescent="0.3">
      <c r="A926" t="s">
        <v>33</v>
      </c>
      <c r="B926" t="s">
        <v>91</v>
      </c>
      <c r="C926">
        <v>559.99</v>
      </c>
      <c r="D926">
        <v>1</v>
      </c>
    </row>
    <row r="927" spans="1:4" x14ac:dyDescent="0.3">
      <c r="A927" t="s">
        <v>61</v>
      </c>
      <c r="B927" t="s">
        <v>81</v>
      </c>
      <c r="C927">
        <v>558.6</v>
      </c>
      <c r="D927">
        <v>7</v>
      </c>
    </row>
    <row r="928" spans="1:4" x14ac:dyDescent="0.3">
      <c r="A928" t="s">
        <v>46</v>
      </c>
      <c r="B928" t="s">
        <v>88</v>
      </c>
      <c r="C928">
        <v>558.35</v>
      </c>
      <c r="D928">
        <v>4</v>
      </c>
    </row>
    <row r="929" spans="1:4" x14ac:dyDescent="0.3">
      <c r="A929" t="s">
        <v>13</v>
      </c>
      <c r="B929" t="s">
        <v>99</v>
      </c>
      <c r="C929">
        <v>555.4</v>
      </c>
      <c r="D929">
        <v>6</v>
      </c>
    </row>
    <row r="930" spans="1:4" x14ac:dyDescent="0.3">
      <c r="A930" t="s">
        <v>55</v>
      </c>
      <c r="B930" t="s">
        <v>83</v>
      </c>
      <c r="C930">
        <v>550.41999999999996</v>
      </c>
      <c r="D930">
        <v>6</v>
      </c>
    </row>
    <row r="931" spans="1:4" x14ac:dyDescent="0.3">
      <c r="A931" t="s">
        <v>38</v>
      </c>
      <c r="B931" t="s">
        <v>96</v>
      </c>
      <c r="C931">
        <v>550.09</v>
      </c>
      <c r="D931">
        <v>5</v>
      </c>
    </row>
    <row r="932" spans="1:4" x14ac:dyDescent="0.3">
      <c r="A932" t="s">
        <v>50</v>
      </c>
      <c r="B932" t="s">
        <v>86</v>
      </c>
      <c r="C932">
        <v>546.41999999999996</v>
      </c>
      <c r="D932">
        <v>5</v>
      </c>
    </row>
    <row r="933" spans="1:4" x14ac:dyDescent="0.3">
      <c r="A933" t="s">
        <v>49</v>
      </c>
      <c r="B933" t="s">
        <v>92</v>
      </c>
      <c r="C933">
        <v>546</v>
      </c>
      <c r="D933">
        <v>4</v>
      </c>
    </row>
    <row r="934" spans="1:4" x14ac:dyDescent="0.3">
      <c r="A934" t="s">
        <v>49</v>
      </c>
      <c r="B934" t="s">
        <v>89</v>
      </c>
      <c r="C934">
        <v>542.4</v>
      </c>
      <c r="D934">
        <v>4</v>
      </c>
    </row>
    <row r="935" spans="1:4" x14ac:dyDescent="0.3">
      <c r="A935" t="s">
        <v>24</v>
      </c>
      <c r="B935" t="s">
        <v>100</v>
      </c>
      <c r="C935">
        <v>541.79999999999995</v>
      </c>
      <c r="D935">
        <v>1</v>
      </c>
    </row>
    <row r="936" spans="1:4" x14ac:dyDescent="0.3">
      <c r="A936" t="s">
        <v>12</v>
      </c>
      <c r="B936" t="s">
        <v>101</v>
      </c>
      <c r="C936">
        <v>540.98</v>
      </c>
      <c r="D936">
        <v>4</v>
      </c>
    </row>
    <row r="937" spans="1:4" x14ac:dyDescent="0.3">
      <c r="A937" t="s">
        <v>30</v>
      </c>
      <c r="B937" t="s">
        <v>100</v>
      </c>
      <c r="C937">
        <v>540</v>
      </c>
      <c r="D937">
        <v>1</v>
      </c>
    </row>
    <row r="938" spans="1:4" x14ac:dyDescent="0.3">
      <c r="A938" t="s">
        <v>37</v>
      </c>
      <c r="B938" t="s">
        <v>96</v>
      </c>
      <c r="C938">
        <v>540</v>
      </c>
      <c r="D938">
        <v>1</v>
      </c>
    </row>
    <row r="939" spans="1:4" x14ac:dyDescent="0.3">
      <c r="A939" t="s">
        <v>46</v>
      </c>
      <c r="B939" t="s">
        <v>97</v>
      </c>
      <c r="C939">
        <v>533.79999999999995</v>
      </c>
      <c r="D939">
        <v>3</v>
      </c>
    </row>
    <row r="940" spans="1:4" x14ac:dyDescent="0.3">
      <c r="A940" t="s">
        <v>33</v>
      </c>
      <c r="B940" t="s">
        <v>90</v>
      </c>
      <c r="C940">
        <v>530</v>
      </c>
      <c r="D940">
        <v>2</v>
      </c>
    </row>
    <row r="941" spans="1:4" x14ac:dyDescent="0.3">
      <c r="A941" t="s">
        <v>33</v>
      </c>
      <c r="B941" t="s">
        <v>93</v>
      </c>
      <c r="C941">
        <v>528.99</v>
      </c>
      <c r="D941">
        <v>2</v>
      </c>
    </row>
    <row r="942" spans="1:4" x14ac:dyDescent="0.3">
      <c r="A942" t="s">
        <v>19</v>
      </c>
      <c r="B942" t="s">
        <v>101</v>
      </c>
      <c r="C942">
        <v>528.9</v>
      </c>
      <c r="D942">
        <v>2</v>
      </c>
    </row>
    <row r="943" spans="1:4" x14ac:dyDescent="0.3">
      <c r="A943" t="s">
        <v>60</v>
      </c>
      <c r="B943" t="s">
        <v>78</v>
      </c>
      <c r="C943">
        <v>528.6</v>
      </c>
      <c r="D943">
        <v>5</v>
      </c>
    </row>
    <row r="944" spans="1:4" x14ac:dyDescent="0.3">
      <c r="A944" t="s">
        <v>33</v>
      </c>
      <c r="B944" t="s">
        <v>92</v>
      </c>
      <c r="C944">
        <v>526.89</v>
      </c>
      <c r="D944">
        <v>3</v>
      </c>
    </row>
    <row r="945" spans="1:4" x14ac:dyDescent="0.3">
      <c r="A945" t="s">
        <v>10</v>
      </c>
      <c r="B945" t="s">
        <v>99</v>
      </c>
      <c r="C945">
        <v>525.97</v>
      </c>
      <c r="D945">
        <v>5</v>
      </c>
    </row>
    <row r="946" spans="1:4" x14ac:dyDescent="0.3">
      <c r="A946" t="s">
        <v>35</v>
      </c>
      <c r="B946" t="s">
        <v>84</v>
      </c>
      <c r="C946">
        <v>521.5</v>
      </c>
      <c r="D946">
        <v>6</v>
      </c>
    </row>
    <row r="947" spans="1:4" x14ac:dyDescent="0.3">
      <c r="A947" t="s">
        <v>44</v>
      </c>
      <c r="B947" t="s">
        <v>84</v>
      </c>
      <c r="C947">
        <v>520.17999999999995</v>
      </c>
      <c r="D947">
        <v>3</v>
      </c>
    </row>
    <row r="948" spans="1:4" x14ac:dyDescent="0.3">
      <c r="A948" t="s">
        <v>34</v>
      </c>
      <c r="B948" t="s">
        <v>90</v>
      </c>
      <c r="C948">
        <v>519.88</v>
      </c>
      <c r="D948">
        <v>3</v>
      </c>
    </row>
    <row r="949" spans="1:4" x14ac:dyDescent="0.3">
      <c r="A949" t="s">
        <v>54</v>
      </c>
      <c r="B949" t="s">
        <v>86</v>
      </c>
      <c r="C949">
        <v>513.99</v>
      </c>
      <c r="D949">
        <v>4</v>
      </c>
    </row>
    <row r="950" spans="1:4" x14ac:dyDescent="0.3">
      <c r="A950" t="s">
        <v>10</v>
      </c>
      <c r="B950" t="s">
        <v>101</v>
      </c>
      <c r="C950">
        <v>513.05999999999995</v>
      </c>
      <c r="D950">
        <v>3</v>
      </c>
    </row>
    <row r="951" spans="1:4" x14ac:dyDescent="0.3">
      <c r="A951" t="s">
        <v>24</v>
      </c>
      <c r="B951" t="s">
        <v>98</v>
      </c>
      <c r="C951">
        <v>511.99</v>
      </c>
      <c r="D951">
        <v>4</v>
      </c>
    </row>
    <row r="952" spans="1:4" x14ac:dyDescent="0.3">
      <c r="A952" t="s">
        <v>45</v>
      </c>
      <c r="B952" t="s">
        <v>84</v>
      </c>
      <c r="C952">
        <v>511.08</v>
      </c>
      <c r="D952">
        <v>7</v>
      </c>
    </row>
    <row r="953" spans="1:4" x14ac:dyDescent="0.3">
      <c r="A953" t="s">
        <v>52</v>
      </c>
      <c r="B953" t="s">
        <v>84</v>
      </c>
      <c r="C953">
        <v>510</v>
      </c>
      <c r="D953">
        <v>1</v>
      </c>
    </row>
    <row r="954" spans="1:4" x14ac:dyDescent="0.3">
      <c r="A954" t="s">
        <v>18</v>
      </c>
      <c r="B954" t="s">
        <v>97</v>
      </c>
      <c r="C954">
        <v>506.93</v>
      </c>
      <c r="D954">
        <v>3</v>
      </c>
    </row>
    <row r="955" spans="1:4" x14ac:dyDescent="0.3">
      <c r="A955" t="s">
        <v>59</v>
      </c>
      <c r="B955" t="s">
        <v>83</v>
      </c>
      <c r="C955">
        <v>505.8</v>
      </c>
      <c r="D955">
        <v>5</v>
      </c>
    </row>
    <row r="956" spans="1:4" x14ac:dyDescent="0.3">
      <c r="A956" t="s">
        <v>35</v>
      </c>
      <c r="B956" t="s">
        <v>94</v>
      </c>
      <c r="C956">
        <v>498.89</v>
      </c>
      <c r="D956">
        <v>3</v>
      </c>
    </row>
    <row r="957" spans="1:4" x14ac:dyDescent="0.3">
      <c r="A957" t="s">
        <v>54</v>
      </c>
      <c r="B957" t="s">
        <v>82</v>
      </c>
      <c r="C957">
        <v>495.6</v>
      </c>
      <c r="D957">
        <v>5</v>
      </c>
    </row>
    <row r="958" spans="1:4" x14ac:dyDescent="0.3">
      <c r="A958" t="s">
        <v>39</v>
      </c>
      <c r="B958" t="s">
        <v>80</v>
      </c>
      <c r="C958">
        <v>494.9</v>
      </c>
      <c r="D958">
        <v>3</v>
      </c>
    </row>
    <row r="959" spans="1:4" x14ac:dyDescent="0.3">
      <c r="A959" t="s">
        <v>60</v>
      </c>
      <c r="B959" t="s">
        <v>79</v>
      </c>
      <c r="C959">
        <v>494.89</v>
      </c>
      <c r="D959">
        <v>6</v>
      </c>
    </row>
    <row r="960" spans="1:4" x14ac:dyDescent="0.3">
      <c r="A960" t="s">
        <v>68</v>
      </c>
      <c r="B960" t="s">
        <v>82</v>
      </c>
      <c r="C960">
        <v>494</v>
      </c>
      <c r="D960">
        <v>2</v>
      </c>
    </row>
    <row r="961" spans="1:4" x14ac:dyDescent="0.3">
      <c r="A961" t="s">
        <v>50</v>
      </c>
      <c r="B961" t="s">
        <v>83</v>
      </c>
      <c r="C961">
        <v>491.23</v>
      </c>
      <c r="D961">
        <v>6</v>
      </c>
    </row>
    <row r="962" spans="1:4" x14ac:dyDescent="0.3">
      <c r="A962" t="s">
        <v>62</v>
      </c>
      <c r="B962" t="s">
        <v>78</v>
      </c>
      <c r="C962">
        <v>490.78</v>
      </c>
      <c r="D962">
        <v>5</v>
      </c>
    </row>
    <row r="963" spans="1:4" x14ac:dyDescent="0.3">
      <c r="A963" t="s">
        <v>10</v>
      </c>
      <c r="B963" t="s">
        <v>102</v>
      </c>
      <c r="C963">
        <v>490.49</v>
      </c>
      <c r="D963">
        <v>4</v>
      </c>
    </row>
    <row r="964" spans="1:4" x14ac:dyDescent="0.3">
      <c r="A964" t="s">
        <v>47</v>
      </c>
      <c r="B964" t="s">
        <v>86</v>
      </c>
      <c r="C964">
        <v>489.8</v>
      </c>
      <c r="D964">
        <v>3</v>
      </c>
    </row>
    <row r="965" spans="1:4" x14ac:dyDescent="0.3">
      <c r="A965" t="s">
        <v>69</v>
      </c>
      <c r="B965" t="s">
        <v>79</v>
      </c>
      <c r="C965">
        <v>488.78</v>
      </c>
      <c r="D965">
        <v>6</v>
      </c>
    </row>
    <row r="966" spans="1:4" x14ac:dyDescent="0.3">
      <c r="A966" t="s">
        <v>28</v>
      </c>
      <c r="B966" t="s">
        <v>89</v>
      </c>
      <c r="C966">
        <v>487.89</v>
      </c>
      <c r="D966">
        <v>2</v>
      </c>
    </row>
    <row r="967" spans="1:4" x14ac:dyDescent="0.3">
      <c r="A967" t="s">
        <v>25</v>
      </c>
      <c r="B967" t="s">
        <v>101</v>
      </c>
      <c r="C967">
        <v>487.55</v>
      </c>
      <c r="D967">
        <v>4</v>
      </c>
    </row>
    <row r="968" spans="1:4" x14ac:dyDescent="0.3">
      <c r="A968" t="s">
        <v>46</v>
      </c>
      <c r="B968" t="s">
        <v>89</v>
      </c>
      <c r="C968">
        <v>485.16</v>
      </c>
      <c r="D968">
        <v>5</v>
      </c>
    </row>
    <row r="969" spans="1:4" x14ac:dyDescent="0.3">
      <c r="A969" t="s">
        <v>58</v>
      </c>
      <c r="B969" t="s">
        <v>80</v>
      </c>
      <c r="C969">
        <v>484.9</v>
      </c>
      <c r="D969">
        <v>5</v>
      </c>
    </row>
    <row r="970" spans="1:4" x14ac:dyDescent="0.3">
      <c r="A970" t="s">
        <v>49</v>
      </c>
      <c r="B970" t="s">
        <v>90</v>
      </c>
      <c r="C970">
        <v>478.5</v>
      </c>
      <c r="D970">
        <v>3</v>
      </c>
    </row>
    <row r="971" spans="1:4" x14ac:dyDescent="0.3">
      <c r="A971" t="s">
        <v>66</v>
      </c>
      <c r="B971" t="s">
        <v>79</v>
      </c>
      <c r="C971">
        <v>475.68</v>
      </c>
      <c r="D971">
        <v>7</v>
      </c>
    </row>
    <row r="972" spans="1:4" x14ac:dyDescent="0.3">
      <c r="A972" t="s">
        <v>34</v>
      </c>
      <c r="B972" t="s">
        <v>93</v>
      </c>
      <c r="C972">
        <v>472.88</v>
      </c>
      <c r="D972">
        <v>3</v>
      </c>
    </row>
    <row r="973" spans="1:4" x14ac:dyDescent="0.3">
      <c r="A973" t="s">
        <v>52</v>
      </c>
      <c r="B973" t="s">
        <v>90</v>
      </c>
      <c r="C973">
        <v>469.8</v>
      </c>
      <c r="D973">
        <v>1</v>
      </c>
    </row>
    <row r="974" spans="1:4" x14ac:dyDescent="0.3">
      <c r="A974" t="s">
        <v>37</v>
      </c>
      <c r="B974" t="s">
        <v>94</v>
      </c>
      <c r="C974">
        <v>468.9</v>
      </c>
      <c r="D974">
        <v>3</v>
      </c>
    </row>
    <row r="975" spans="1:4" x14ac:dyDescent="0.3">
      <c r="A975" t="s">
        <v>26</v>
      </c>
      <c r="B975" t="s">
        <v>92</v>
      </c>
      <c r="C975">
        <v>468.07</v>
      </c>
      <c r="D975">
        <v>6</v>
      </c>
    </row>
    <row r="976" spans="1:4" x14ac:dyDescent="0.3">
      <c r="A976" t="s">
        <v>8</v>
      </c>
      <c r="B976" t="s">
        <v>103</v>
      </c>
      <c r="C976">
        <v>468.01</v>
      </c>
      <c r="D976">
        <v>5</v>
      </c>
    </row>
    <row r="977" spans="1:4" x14ac:dyDescent="0.3">
      <c r="A977" t="s">
        <v>37</v>
      </c>
      <c r="B977" t="s">
        <v>84</v>
      </c>
      <c r="C977">
        <v>468</v>
      </c>
      <c r="D977">
        <v>3</v>
      </c>
    </row>
    <row r="978" spans="1:4" x14ac:dyDescent="0.3">
      <c r="A978" t="s">
        <v>27</v>
      </c>
      <c r="B978" t="s">
        <v>97</v>
      </c>
      <c r="C978">
        <v>466.5</v>
      </c>
      <c r="D978">
        <v>8</v>
      </c>
    </row>
    <row r="979" spans="1:4" x14ac:dyDescent="0.3">
      <c r="A979" t="s">
        <v>43</v>
      </c>
      <c r="B979" t="s">
        <v>83</v>
      </c>
      <c r="C979">
        <v>465</v>
      </c>
      <c r="D979">
        <v>4</v>
      </c>
    </row>
    <row r="980" spans="1:4" x14ac:dyDescent="0.3">
      <c r="A980" t="s">
        <v>57</v>
      </c>
      <c r="B980" t="s">
        <v>85</v>
      </c>
      <c r="C980">
        <v>457.7</v>
      </c>
      <c r="D980">
        <v>5</v>
      </c>
    </row>
    <row r="981" spans="1:4" x14ac:dyDescent="0.3">
      <c r="A981" t="s">
        <v>72</v>
      </c>
      <c r="B981" t="s">
        <v>77</v>
      </c>
      <c r="C981">
        <v>456.78</v>
      </c>
      <c r="D981">
        <v>11</v>
      </c>
    </row>
    <row r="982" spans="1:4" x14ac:dyDescent="0.3">
      <c r="A982" t="s">
        <v>33</v>
      </c>
      <c r="B982" t="s">
        <v>88</v>
      </c>
      <c r="C982">
        <v>452.9</v>
      </c>
      <c r="D982">
        <v>2</v>
      </c>
    </row>
    <row r="983" spans="1:4" x14ac:dyDescent="0.3">
      <c r="A983" t="s">
        <v>31</v>
      </c>
      <c r="B983" t="s">
        <v>95</v>
      </c>
      <c r="C983">
        <v>452.6</v>
      </c>
      <c r="D983">
        <v>1</v>
      </c>
    </row>
    <row r="984" spans="1:4" x14ac:dyDescent="0.3">
      <c r="A984" t="s">
        <v>63</v>
      </c>
      <c r="B984" t="s">
        <v>92</v>
      </c>
      <c r="C984">
        <v>448.8</v>
      </c>
      <c r="D984">
        <v>3</v>
      </c>
    </row>
    <row r="985" spans="1:4" x14ac:dyDescent="0.3">
      <c r="A985" t="s">
        <v>37</v>
      </c>
      <c r="B985" t="s">
        <v>88</v>
      </c>
      <c r="C985">
        <v>446.16</v>
      </c>
      <c r="D985">
        <v>2</v>
      </c>
    </row>
    <row r="986" spans="1:4" x14ac:dyDescent="0.3">
      <c r="A986" t="s">
        <v>56</v>
      </c>
      <c r="B986" t="s">
        <v>86</v>
      </c>
      <c r="C986">
        <v>445.8</v>
      </c>
      <c r="D986">
        <v>3</v>
      </c>
    </row>
    <row r="987" spans="1:4" x14ac:dyDescent="0.3">
      <c r="A987" t="s">
        <v>33</v>
      </c>
      <c r="B987" t="s">
        <v>86</v>
      </c>
      <c r="C987">
        <v>442.3</v>
      </c>
      <c r="D987">
        <v>2</v>
      </c>
    </row>
    <row r="988" spans="1:4" x14ac:dyDescent="0.3">
      <c r="A988" t="s">
        <v>57</v>
      </c>
      <c r="B988" t="s">
        <v>92</v>
      </c>
      <c r="C988">
        <v>441.9</v>
      </c>
      <c r="D988">
        <v>3</v>
      </c>
    </row>
    <row r="989" spans="1:4" x14ac:dyDescent="0.3">
      <c r="A989" t="s">
        <v>38</v>
      </c>
      <c r="B989" t="s">
        <v>87</v>
      </c>
      <c r="C989">
        <v>441.79</v>
      </c>
      <c r="D989">
        <v>4</v>
      </c>
    </row>
    <row r="990" spans="1:4" x14ac:dyDescent="0.3">
      <c r="A990" t="s">
        <v>23</v>
      </c>
      <c r="B990" t="s">
        <v>100</v>
      </c>
      <c r="C990">
        <v>439</v>
      </c>
      <c r="D990">
        <v>1</v>
      </c>
    </row>
    <row r="991" spans="1:4" x14ac:dyDescent="0.3">
      <c r="A991" t="s">
        <v>71</v>
      </c>
      <c r="B991" t="s">
        <v>77</v>
      </c>
      <c r="C991">
        <v>438.67</v>
      </c>
      <c r="D991">
        <v>10</v>
      </c>
    </row>
    <row r="992" spans="1:4" x14ac:dyDescent="0.3">
      <c r="A992" t="s">
        <v>52</v>
      </c>
      <c r="B992" t="s">
        <v>80</v>
      </c>
      <c r="C992">
        <v>435</v>
      </c>
      <c r="D992">
        <v>2</v>
      </c>
    </row>
    <row r="993" spans="1:4" x14ac:dyDescent="0.3">
      <c r="A993" t="s">
        <v>32</v>
      </c>
      <c r="B993" t="s">
        <v>95</v>
      </c>
      <c r="C993">
        <v>434.25</v>
      </c>
      <c r="D993">
        <v>2</v>
      </c>
    </row>
    <row r="994" spans="1:4" x14ac:dyDescent="0.3">
      <c r="A994" t="s">
        <v>68</v>
      </c>
      <c r="B994" t="s">
        <v>80</v>
      </c>
      <c r="C994">
        <v>428.99</v>
      </c>
      <c r="D994">
        <v>3</v>
      </c>
    </row>
    <row r="995" spans="1:4" x14ac:dyDescent="0.3">
      <c r="A995" t="s">
        <v>26</v>
      </c>
      <c r="B995" t="s">
        <v>100</v>
      </c>
      <c r="C995">
        <v>423.3</v>
      </c>
      <c r="D995">
        <v>2</v>
      </c>
    </row>
    <row r="996" spans="1:4" x14ac:dyDescent="0.3">
      <c r="A996" t="s">
        <v>46</v>
      </c>
      <c r="B996" t="s">
        <v>93</v>
      </c>
      <c r="C996">
        <v>422.8</v>
      </c>
      <c r="D996">
        <v>2</v>
      </c>
    </row>
    <row r="997" spans="1:4" x14ac:dyDescent="0.3">
      <c r="A997" t="s">
        <v>48</v>
      </c>
      <c r="B997" t="s">
        <v>82</v>
      </c>
      <c r="C997">
        <v>422.19</v>
      </c>
      <c r="D997">
        <v>6</v>
      </c>
    </row>
    <row r="998" spans="1:4" x14ac:dyDescent="0.3">
      <c r="A998" t="s">
        <v>63</v>
      </c>
      <c r="B998" t="s">
        <v>78</v>
      </c>
      <c r="C998">
        <v>419.06</v>
      </c>
      <c r="D998">
        <v>12</v>
      </c>
    </row>
    <row r="999" spans="1:4" x14ac:dyDescent="0.3">
      <c r="A999" t="s">
        <v>34</v>
      </c>
      <c r="B999" t="s">
        <v>92</v>
      </c>
      <c r="C999">
        <v>418.8</v>
      </c>
      <c r="D999">
        <v>3</v>
      </c>
    </row>
    <row r="1000" spans="1:4" x14ac:dyDescent="0.3">
      <c r="A1000" t="s">
        <v>47</v>
      </c>
      <c r="B1000" t="s">
        <v>84</v>
      </c>
      <c r="C1000">
        <v>410.7</v>
      </c>
      <c r="D1000">
        <v>5</v>
      </c>
    </row>
    <row r="1001" spans="1:4" x14ac:dyDescent="0.3">
      <c r="A1001" t="s">
        <v>23</v>
      </c>
      <c r="B1001" t="s">
        <v>95</v>
      </c>
      <c r="C1001">
        <v>409.8</v>
      </c>
      <c r="D1001">
        <v>2</v>
      </c>
    </row>
    <row r="1002" spans="1:4" x14ac:dyDescent="0.3">
      <c r="A1002" t="s">
        <v>36</v>
      </c>
      <c r="B1002" t="s">
        <v>85</v>
      </c>
      <c r="C1002">
        <v>409.78</v>
      </c>
      <c r="D1002">
        <v>5</v>
      </c>
    </row>
    <row r="1003" spans="1:4" x14ac:dyDescent="0.3">
      <c r="A1003" t="s">
        <v>48</v>
      </c>
      <c r="B1003" t="s">
        <v>85</v>
      </c>
      <c r="C1003">
        <v>409.57</v>
      </c>
      <c r="D1003">
        <v>4</v>
      </c>
    </row>
    <row r="1004" spans="1:4" x14ac:dyDescent="0.3">
      <c r="A1004" t="s">
        <v>40</v>
      </c>
      <c r="B1004" t="s">
        <v>93</v>
      </c>
      <c r="C1004">
        <v>409</v>
      </c>
      <c r="D1004">
        <v>1</v>
      </c>
    </row>
    <row r="1005" spans="1:4" x14ac:dyDescent="0.3">
      <c r="A1005" t="s">
        <v>10</v>
      </c>
      <c r="B1005" t="s">
        <v>100</v>
      </c>
      <c r="C1005">
        <v>408.69</v>
      </c>
      <c r="D1005">
        <v>4</v>
      </c>
    </row>
    <row r="1006" spans="1:4" x14ac:dyDescent="0.3">
      <c r="A1006" t="s">
        <v>49</v>
      </c>
      <c r="B1006" t="s">
        <v>95</v>
      </c>
      <c r="C1006">
        <v>399.4</v>
      </c>
      <c r="D1006">
        <v>2</v>
      </c>
    </row>
    <row r="1007" spans="1:4" x14ac:dyDescent="0.3">
      <c r="A1007" t="s">
        <v>45</v>
      </c>
      <c r="B1007" t="s">
        <v>85</v>
      </c>
      <c r="C1007">
        <v>398.46</v>
      </c>
      <c r="D1007">
        <v>6</v>
      </c>
    </row>
    <row r="1008" spans="1:4" x14ac:dyDescent="0.3">
      <c r="A1008" t="s">
        <v>57</v>
      </c>
      <c r="B1008" t="s">
        <v>80</v>
      </c>
      <c r="C1008">
        <v>397.8</v>
      </c>
      <c r="D1008">
        <v>3</v>
      </c>
    </row>
    <row r="1009" spans="1:4" x14ac:dyDescent="0.3">
      <c r="A1009" t="s">
        <v>29</v>
      </c>
      <c r="B1009" t="s">
        <v>100</v>
      </c>
      <c r="C1009">
        <v>390.8</v>
      </c>
      <c r="D1009">
        <v>2</v>
      </c>
    </row>
    <row r="1010" spans="1:4" x14ac:dyDescent="0.3">
      <c r="A1010" t="s">
        <v>46</v>
      </c>
      <c r="B1010" t="s">
        <v>85</v>
      </c>
      <c r="C1010">
        <v>387.05</v>
      </c>
      <c r="D1010">
        <v>7</v>
      </c>
    </row>
    <row r="1011" spans="1:4" x14ac:dyDescent="0.3">
      <c r="A1011" t="s">
        <v>50</v>
      </c>
      <c r="B1011" t="s">
        <v>85</v>
      </c>
      <c r="C1011">
        <v>385.57</v>
      </c>
      <c r="D1011">
        <v>4</v>
      </c>
    </row>
    <row r="1012" spans="1:4" x14ac:dyDescent="0.3">
      <c r="A1012" t="s">
        <v>42</v>
      </c>
      <c r="B1012" t="s">
        <v>87</v>
      </c>
      <c r="C1012">
        <v>384.98</v>
      </c>
      <c r="D1012">
        <v>3</v>
      </c>
    </row>
    <row r="1013" spans="1:4" x14ac:dyDescent="0.3">
      <c r="A1013" t="s">
        <v>45</v>
      </c>
      <c r="B1013" t="s">
        <v>92</v>
      </c>
      <c r="C1013">
        <v>384.26</v>
      </c>
      <c r="D1013">
        <v>4</v>
      </c>
    </row>
    <row r="1014" spans="1:4" x14ac:dyDescent="0.3">
      <c r="A1014" t="s">
        <v>25</v>
      </c>
      <c r="B1014" t="s">
        <v>91</v>
      </c>
      <c r="C1014">
        <v>382.89</v>
      </c>
      <c r="D1014">
        <v>13</v>
      </c>
    </row>
    <row r="1015" spans="1:4" x14ac:dyDescent="0.3">
      <c r="A1015" t="s">
        <v>21</v>
      </c>
      <c r="B1015" t="s">
        <v>100</v>
      </c>
      <c r="C1015">
        <v>374.79</v>
      </c>
      <c r="D1015">
        <v>4</v>
      </c>
    </row>
    <row r="1016" spans="1:4" x14ac:dyDescent="0.3">
      <c r="A1016" t="s">
        <v>58</v>
      </c>
      <c r="B1016" t="s">
        <v>87</v>
      </c>
      <c r="C1016">
        <v>372.45</v>
      </c>
      <c r="D1016">
        <v>4</v>
      </c>
    </row>
    <row r="1017" spans="1:4" x14ac:dyDescent="0.3">
      <c r="A1017" t="s">
        <v>36</v>
      </c>
      <c r="B1017" t="s">
        <v>88</v>
      </c>
      <c r="C1017">
        <v>369.79</v>
      </c>
      <c r="D1017">
        <v>3</v>
      </c>
    </row>
    <row r="1018" spans="1:4" x14ac:dyDescent="0.3">
      <c r="A1018" t="s">
        <v>25</v>
      </c>
      <c r="B1018" t="s">
        <v>95</v>
      </c>
      <c r="C1018">
        <v>368.42</v>
      </c>
      <c r="D1018">
        <v>14</v>
      </c>
    </row>
    <row r="1019" spans="1:4" x14ac:dyDescent="0.3">
      <c r="A1019" t="s">
        <v>57</v>
      </c>
      <c r="B1019" t="s">
        <v>82</v>
      </c>
      <c r="C1019">
        <v>367.2</v>
      </c>
      <c r="D1019">
        <v>7</v>
      </c>
    </row>
    <row r="1020" spans="1:4" x14ac:dyDescent="0.3">
      <c r="A1020" t="s">
        <v>23</v>
      </c>
      <c r="B1020" t="s">
        <v>96</v>
      </c>
      <c r="C1020">
        <v>367</v>
      </c>
      <c r="D1020">
        <v>1</v>
      </c>
    </row>
    <row r="1021" spans="1:4" x14ac:dyDescent="0.3">
      <c r="A1021" t="s">
        <v>62</v>
      </c>
      <c r="B1021" t="s">
        <v>79</v>
      </c>
      <c r="C1021">
        <v>364.87</v>
      </c>
      <c r="D1021">
        <v>6</v>
      </c>
    </row>
    <row r="1022" spans="1:4" x14ac:dyDescent="0.3">
      <c r="A1022" t="s">
        <v>59</v>
      </c>
      <c r="B1022" t="s">
        <v>89</v>
      </c>
      <c r="C1022">
        <v>361.79</v>
      </c>
      <c r="D1022">
        <v>4</v>
      </c>
    </row>
    <row r="1023" spans="1:4" x14ac:dyDescent="0.3">
      <c r="A1023" t="s">
        <v>58</v>
      </c>
      <c r="B1023" t="s">
        <v>85</v>
      </c>
      <c r="C1023">
        <v>361.7</v>
      </c>
      <c r="D1023">
        <v>3</v>
      </c>
    </row>
    <row r="1024" spans="1:4" x14ac:dyDescent="0.3">
      <c r="A1024" t="s">
        <v>64</v>
      </c>
      <c r="B1024" t="s">
        <v>80</v>
      </c>
      <c r="C1024">
        <v>359.6</v>
      </c>
      <c r="D1024">
        <v>3</v>
      </c>
    </row>
    <row r="1025" spans="1:4" x14ac:dyDescent="0.3">
      <c r="A1025" t="s">
        <v>51</v>
      </c>
      <c r="B1025" t="s">
        <v>92</v>
      </c>
      <c r="C1025">
        <v>358</v>
      </c>
      <c r="D1025">
        <v>1</v>
      </c>
    </row>
    <row r="1026" spans="1:4" x14ac:dyDescent="0.3">
      <c r="A1026" t="s">
        <v>55</v>
      </c>
      <c r="B1026" t="s">
        <v>95</v>
      </c>
      <c r="C1026">
        <v>356.05</v>
      </c>
      <c r="D1026">
        <v>4</v>
      </c>
    </row>
    <row r="1027" spans="1:4" x14ac:dyDescent="0.3">
      <c r="A1027" t="s">
        <v>73</v>
      </c>
      <c r="B1027" t="s">
        <v>77</v>
      </c>
      <c r="C1027">
        <v>350</v>
      </c>
      <c r="D1027">
        <v>6</v>
      </c>
    </row>
    <row r="1028" spans="1:4" x14ac:dyDescent="0.3">
      <c r="A1028" t="s">
        <v>29</v>
      </c>
      <c r="B1028" t="s">
        <v>98</v>
      </c>
      <c r="C1028">
        <v>349.8</v>
      </c>
      <c r="D1028">
        <v>2</v>
      </c>
    </row>
    <row r="1029" spans="1:4" x14ac:dyDescent="0.3">
      <c r="A1029" t="s">
        <v>29</v>
      </c>
      <c r="B1029" t="s">
        <v>101</v>
      </c>
      <c r="C1029">
        <v>348.9</v>
      </c>
      <c r="D1029">
        <v>2</v>
      </c>
    </row>
    <row r="1030" spans="1:4" x14ac:dyDescent="0.3">
      <c r="A1030" t="s">
        <v>45</v>
      </c>
      <c r="B1030" t="s">
        <v>88</v>
      </c>
      <c r="C1030">
        <v>348.69</v>
      </c>
      <c r="D1030">
        <v>5</v>
      </c>
    </row>
    <row r="1031" spans="1:4" x14ac:dyDescent="0.3">
      <c r="A1031" t="s">
        <v>35</v>
      </c>
      <c r="B1031" t="s">
        <v>88</v>
      </c>
      <c r="C1031">
        <v>346.6</v>
      </c>
      <c r="D1031">
        <v>4</v>
      </c>
    </row>
    <row r="1032" spans="1:4" x14ac:dyDescent="0.3">
      <c r="A1032" t="s">
        <v>49</v>
      </c>
      <c r="B1032" t="s">
        <v>96</v>
      </c>
      <c r="C1032">
        <v>346.42</v>
      </c>
      <c r="D1032">
        <v>3</v>
      </c>
    </row>
    <row r="1033" spans="1:4" x14ac:dyDescent="0.3">
      <c r="A1033" t="s">
        <v>25</v>
      </c>
      <c r="B1033" t="s">
        <v>96</v>
      </c>
      <c r="C1033">
        <v>344.56</v>
      </c>
      <c r="D1033">
        <v>13</v>
      </c>
    </row>
    <row r="1034" spans="1:4" x14ac:dyDescent="0.3">
      <c r="A1034" t="s">
        <v>40</v>
      </c>
      <c r="B1034" t="s">
        <v>95</v>
      </c>
      <c r="C1034">
        <v>339.9</v>
      </c>
      <c r="D1034">
        <v>2</v>
      </c>
    </row>
    <row r="1035" spans="1:4" x14ac:dyDescent="0.3">
      <c r="A1035" t="s">
        <v>44</v>
      </c>
      <c r="B1035" t="s">
        <v>99</v>
      </c>
      <c r="C1035">
        <v>339.9</v>
      </c>
      <c r="D1035">
        <v>1</v>
      </c>
    </row>
    <row r="1036" spans="1:4" x14ac:dyDescent="0.3">
      <c r="A1036" t="s">
        <v>21</v>
      </c>
      <c r="B1036" t="s">
        <v>98</v>
      </c>
      <c r="C1036">
        <v>332.3</v>
      </c>
      <c r="D1036">
        <v>4</v>
      </c>
    </row>
    <row r="1037" spans="1:4" x14ac:dyDescent="0.3">
      <c r="A1037" t="s">
        <v>27</v>
      </c>
      <c r="B1037" t="s">
        <v>98</v>
      </c>
      <c r="C1037">
        <v>331.39</v>
      </c>
      <c r="D1037">
        <v>6</v>
      </c>
    </row>
    <row r="1038" spans="1:4" x14ac:dyDescent="0.3">
      <c r="A1038" t="s">
        <v>47</v>
      </c>
      <c r="B1038" t="s">
        <v>85</v>
      </c>
      <c r="C1038">
        <v>330.7</v>
      </c>
      <c r="D1038">
        <v>5</v>
      </c>
    </row>
    <row r="1039" spans="1:4" x14ac:dyDescent="0.3">
      <c r="A1039" t="s">
        <v>26</v>
      </c>
      <c r="B1039" t="s">
        <v>98</v>
      </c>
      <c r="C1039">
        <v>328.7</v>
      </c>
      <c r="D1039">
        <v>3</v>
      </c>
    </row>
    <row r="1040" spans="1:4" x14ac:dyDescent="0.3">
      <c r="A1040" t="s">
        <v>46</v>
      </c>
      <c r="B1040" t="s">
        <v>84</v>
      </c>
      <c r="C1040">
        <v>326.70999999999998</v>
      </c>
      <c r="D1040">
        <v>4</v>
      </c>
    </row>
    <row r="1041" spans="1:4" x14ac:dyDescent="0.3">
      <c r="A1041" t="s">
        <v>33</v>
      </c>
      <c r="B1041" t="s">
        <v>94</v>
      </c>
      <c r="C1041">
        <v>318.98</v>
      </c>
      <c r="D1041">
        <v>3</v>
      </c>
    </row>
    <row r="1042" spans="1:4" x14ac:dyDescent="0.3">
      <c r="A1042" t="s">
        <v>64</v>
      </c>
      <c r="B1042" t="s">
        <v>81</v>
      </c>
      <c r="C1042">
        <v>317.60000000000002</v>
      </c>
      <c r="D1042">
        <v>2</v>
      </c>
    </row>
    <row r="1043" spans="1:4" x14ac:dyDescent="0.3">
      <c r="A1043" t="s">
        <v>60</v>
      </c>
      <c r="B1043" t="s">
        <v>83</v>
      </c>
      <c r="C1043">
        <v>314.85000000000002</v>
      </c>
      <c r="D1043">
        <v>3</v>
      </c>
    </row>
    <row r="1044" spans="1:4" x14ac:dyDescent="0.3">
      <c r="A1044" t="s">
        <v>11</v>
      </c>
      <c r="B1044" t="s">
        <v>102</v>
      </c>
      <c r="C1044">
        <v>314</v>
      </c>
      <c r="D1044">
        <v>2</v>
      </c>
    </row>
    <row r="1045" spans="1:4" x14ac:dyDescent="0.3">
      <c r="A1045" t="s">
        <v>53</v>
      </c>
      <c r="B1045" t="s">
        <v>87</v>
      </c>
      <c r="C1045">
        <v>313.39</v>
      </c>
      <c r="D1045">
        <v>4</v>
      </c>
    </row>
    <row r="1046" spans="1:4" x14ac:dyDescent="0.3">
      <c r="A1046" t="s">
        <v>58</v>
      </c>
      <c r="B1046" t="s">
        <v>84</v>
      </c>
      <c r="C1046">
        <v>311.2</v>
      </c>
      <c r="D1046">
        <v>5</v>
      </c>
    </row>
    <row r="1047" spans="1:4" x14ac:dyDescent="0.3">
      <c r="A1047" t="s">
        <v>55</v>
      </c>
      <c r="B1047" t="s">
        <v>86</v>
      </c>
      <c r="C1047">
        <v>311</v>
      </c>
      <c r="D1047">
        <v>6</v>
      </c>
    </row>
    <row r="1048" spans="1:4" x14ac:dyDescent="0.3">
      <c r="A1048" t="s">
        <v>55</v>
      </c>
      <c r="B1048" t="s">
        <v>84</v>
      </c>
      <c r="C1048">
        <v>310.79000000000002</v>
      </c>
      <c r="D1048">
        <v>4</v>
      </c>
    </row>
    <row r="1049" spans="1:4" x14ac:dyDescent="0.3">
      <c r="A1049" t="s">
        <v>36</v>
      </c>
      <c r="B1049" t="s">
        <v>94</v>
      </c>
      <c r="C1049">
        <v>310</v>
      </c>
      <c r="D1049">
        <v>2</v>
      </c>
    </row>
    <row r="1050" spans="1:4" x14ac:dyDescent="0.3">
      <c r="A1050" t="s">
        <v>54</v>
      </c>
      <c r="B1050" t="s">
        <v>93</v>
      </c>
      <c r="C1050">
        <v>309</v>
      </c>
      <c r="D1050">
        <v>1</v>
      </c>
    </row>
    <row r="1051" spans="1:4" x14ac:dyDescent="0.3">
      <c r="A1051" t="s">
        <v>56</v>
      </c>
      <c r="B1051" t="s">
        <v>85</v>
      </c>
      <c r="C1051">
        <v>308.60000000000002</v>
      </c>
      <c r="D1051">
        <v>3</v>
      </c>
    </row>
    <row r="1052" spans="1:4" x14ac:dyDescent="0.3">
      <c r="A1052" t="s">
        <v>32</v>
      </c>
      <c r="B1052" t="s">
        <v>94</v>
      </c>
      <c r="C1052">
        <v>308.5</v>
      </c>
      <c r="D1052">
        <v>4</v>
      </c>
    </row>
    <row r="1053" spans="1:4" x14ac:dyDescent="0.3">
      <c r="A1053" t="s">
        <v>40</v>
      </c>
      <c r="B1053" t="s">
        <v>85</v>
      </c>
      <c r="C1053">
        <v>305.76</v>
      </c>
      <c r="D1053">
        <v>2</v>
      </c>
    </row>
    <row r="1054" spans="1:4" x14ac:dyDescent="0.3">
      <c r="A1054" t="s">
        <v>17</v>
      </c>
      <c r="B1054" t="s">
        <v>102</v>
      </c>
      <c r="C1054">
        <v>304.77999999999997</v>
      </c>
      <c r="D1054">
        <v>4</v>
      </c>
    </row>
    <row r="1055" spans="1:4" x14ac:dyDescent="0.3">
      <c r="A1055" t="s">
        <v>16</v>
      </c>
      <c r="B1055" t="s">
        <v>101</v>
      </c>
      <c r="C1055">
        <v>303.88</v>
      </c>
      <c r="D1055">
        <v>3</v>
      </c>
    </row>
    <row r="1056" spans="1:4" x14ac:dyDescent="0.3">
      <c r="A1056" t="s">
        <v>53</v>
      </c>
      <c r="B1056" t="s">
        <v>90</v>
      </c>
      <c r="C1056">
        <v>301.29000000000002</v>
      </c>
      <c r="D1056">
        <v>5</v>
      </c>
    </row>
    <row r="1057" spans="1:4" x14ac:dyDescent="0.3">
      <c r="A1057" t="s">
        <v>47</v>
      </c>
      <c r="B1057" t="s">
        <v>94</v>
      </c>
      <c r="C1057">
        <v>300.3</v>
      </c>
      <c r="D1057">
        <v>4</v>
      </c>
    </row>
    <row r="1058" spans="1:4" x14ac:dyDescent="0.3">
      <c r="A1058" t="s">
        <v>29</v>
      </c>
      <c r="B1058" t="s">
        <v>95</v>
      </c>
      <c r="C1058">
        <v>299.89999999999998</v>
      </c>
      <c r="D1058">
        <v>1</v>
      </c>
    </row>
    <row r="1059" spans="1:4" x14ac:dyDescent="0.3">
      <c r="A1059" t="s">
        <v>41</v>
      </c>
      <c r="B1059" t="s">
        <v>91</v>
      </c>
      <c r="C1059">
        <v>299</v>
      </c>
      <c r="D1059">
        <v>3</v>
      </c>
    </row>
    <row r="1060" spans="1:4" x14ac:dyDescent="0.3">
      <c r="A1060" t="s">
        <v>61</v>
      </c>
      <c r="B1060" t="s">
        <v>80</v>
      </c>
      <c r="C1060">
        <v>299</v>
      </c>
      <c r="D1060">
        <v>1</v>
      </c>
    </row>
    <row r="1061" spans="1:4" x14ac:dyDescent="0.3">
      <c r="A1061" t="s">
        <v>14</v>
      </c>
      <c r="B1061" t="s">
        <v>102</v>
      </c>
      <c r="C1061">
        <v>297.83999999999997</v>
      </c>
      <c r="D1061">
        <v>3</v>
      </c>
    </row>
    <row r="1062" spans="1:4" x14ac:dyDescent="0.3">
      <c r="A1062" t="s">
        <v>59</v>
      </c>
      <c r="B1062" t="s">
        <v>94</v>
      </c>
      <c r="C1062">
        <v>297</v>
      </c>
      <c r="D1062">
        <v>3</v>
      </c>
    </row>
    <row r="1063" spans="1:4" x14ac:dyDescent="0.3">
      <c r="A1063" t="s">
        <v>42</v>
      </c>
      <c r="B1063" t="s">
        <v>94</v>
      </c>
      <c r="C1063">
        <v>297</v>
      </c>
      <c r="D1063">
        <v>1</v>
      </c>
    </row>
    <row r="1064" spans="1:4" x14ac:dyDescent="0.3">
      <c r="A1064" t="s">
        <v>49</v>
      </c>
      <c r="B1064" t="s">
        <v>101</v>
      </c>
      <c r="C1064">
        <v>295.60000000000002</v>
      </c>
      <c r="D1064">
        <v>2</v>
      </c>
    </row>
    <row r="1065" spans="1:4" x14ac:dyDescent="0.3">
      <c r="A1065" t="s">
        <v>23</v>
      </c>
      <c r="B1065" t="s">
        <v>102</v>
      </c>
      <c r="C1065">
        <v>293.89999999999998</v>
      </c>
      <c r="D1065">
        <v>2</v>
      </c>
    </row>
    <row r="1066" spans="1:4" x14ac:dyDescent="0.3">
      <c r="A1066" t="s">
        <v>60</v>
      </c>
      <c r="B1066" t="s">
        <v>81</v>
      </c>
      <c r="C1066">
        <v>293.60000000000002</v>
      </c>
      <c r="D1066">
        <v>2</v>
      </c>
    </row>
    <row r="1067" spans="1:4" x14ac:dyDescent="0.3">
      <c r="A1067" t="s">
        <v>52</v>
      </c>
      <c r="B1067" t="s">
        <v>81</v>
      </c>
      <c r="C1067">
        <v>293.27999999999997</v>
      </c>
      <c r="D1067">
        <v>8</v>
      </c>
    </row>
    <row r="1068" spans="1:4" x14ac:dyDescent="0.3">
      <c r="A1068" t="s">
        <v>50</v>
      </c>
      <c r="B1068" t="s">
        <v>84</v>
      </c>
      <c r="C1068">
        <v>292.37</v>
      </c>
      <c r="D1068">
        <v>5</v>
      </c>
    </row>
    <row r="1069" spans="1:4" x14ac:dyDescent="0.3">
      <c r="A1069" t="s">
        <v>55</v>
      </c>
      <c r="B1069" t="s">
        <v>88</v>
      </c>
      <c r="C1069">
        <v>291.86</v>
      </c>
      <c r="D1069">
        <v>3</v>
      </c>
    </row>
    <row r="1070" spans="1:4" x14ac:dyDescent="0.3">
      <c r="A1070" t="s">
        <v>64</v>
      </c>
      <c r="B1070" t="s">
        <v>78</v>
      </c>
      <c r="C1070">
        <v>291.5</v>
      </c>
      <c r="D1070">
        <v>5</v>
      </c>
    </row>
    <row r="1071" spans="1:4" x14ac:dyDescent="0.3">
      <c r="A1071" t="s">
        <v>18</v>
      </c>
      <c r="B1071" t="s">
        <v>103</v>
      </c>
      <c r="C1071">
        <v>289.89999999999998</v>
      </c>
      <c r="D1071">
        <v>1</v>
      </c>
    </row>
    <row r="1072" spans="1:4" x14ac:dyDescent="0.3">
      <c r="A1072" t="s">
        <v>29</v>
      </c>
      <c r="B1072" t="s">
        <v>97</v>
      </c>
      <c r="C1072">
        <v>289.7</v>
      </c>
      <c r="D1072">
        <v>3</v>
      </c>
    </row>
    <row r="1073" spans="1:4" x14ac:dyDescent="0.3">
      <c r="A1073" t="s">
        <v>69</v>
      </c>
      <c r="B1073" t="s">
        <v>82</v>
      </c>
      <c r="C1073">
        <v>289.49</v>
      </c>
      <c r="D1073">
        <v>1</v>
      </c>
    </row>
    <row r="1074" spans="1:4" x14ac:dyDescent="0.3">
      <c r="A1074" t="s">
        <v>43</v>
      </c>
      <c r="B1074" t="s">
        <v>90</v>
      </c>
      <c r="C1074">
        <v>281</v>
      </c>
      <c r="D1074">
        <v>3</v>
      </c>
    </row>
    <row r="1075" spans="1:4" x14ac:dyDescent="0.3">
      <c r="A1075" t="s">
        <v>22</v>
      </c>
      <c r="B1075" t="s">
        <v>92</v>
      </c>
      <c r="C1075">
        <v>280.31</v>
      </c>
      <c r="D1075">
        <v>5</v>
      </c>
    </row>
    <row r="1076" spans="1:4" x14ac:dyDescent="0.3">
      <c r="A1076" t="s">
        <v>74</v>
      </c>
      <c r="B1076" t="s">
        <v>77</v>
      </c>
      <c r="C1076">
        <v>279.97000000000003</v>
      </c>
      <c r="D1076">
        <v>4</v>
      </c>
    </row>
    <row r="1077" spans="1:4" x14ac:dyDescent="0.3">
      <c r="A1077" t="s">
        <v>36</v>
      </c>
      <c r="B1077" t="s">
        <v>81</v>
      </c>
      <c r="C1077">
        <v>279.68</v>
      </c>
      <c r="D1077">
        <v>6</v>
      </c>
    </row>
    <row r="1078" spans="1:4" x14ac:dyDescent="0.3">
      <c r="A1078" t="s">
        <v>27</v>
      </c>
      <c r="B1078" t="s">
        <v>94</v>
      </c>
      <c r="C1078">
        <v>277.8</v>
      </c>
      <c r="D1078">
        <v>5</v>
      </c>
    </row>
    <row r="1079" spans="1:4" x14ac:dyDescent="0.3">
      <c r="A1079" t="s">
        <v>37</v>
      </c>
      <c r="B1079" t="s">
        <v>87</v>
      </c>
      <c r="C1079">
        <v>276.89999999999998</v>
      </c>
      <c r="D1079">
        <v>2</v>
      </c>
    </row>
    <row r="1080" spans="1:4" x14ac:dyDescent="0.3">
      <c r="A1080" t="s">
        <v>19</v>
      </c>
      <c r="B1080" t="s">
        <v>98</v>
      </c>
      <c r="C1080">
        <v>276.8</v>
      </c>
      <c r="D1080">
        <v>3</v>
      </c>
    </row>
    <row r="1081" spans="1:4" x14ac:dyDescent="0.3">
      <c r="A1081" t="s">
        <v>26</v>
      </c>
      <c r="B1081" t="s">
        <v>101</v>
      </c>
      <c r="C1081">
        <v>276.14</v>
      </c>
      <c r="D1081">
        <v>1</v>
      </c>
    </row>
    <row r="1082" spans="1:4" x14ac:dyDescent="0.3">
      <c r="A1082" t="s">
        <v>46</v>
      </c>
      <c r="B1082" t="s">
        <v>87</v>
      </c>
      <c r="C1082">
        <v>274.95999999999998</v>
      </c>
      <c r="D1082">
        <v>3</v>
      </c>
    </row>
    <row r="1083" spans="1:4" x14ac:dyDescent="0.3">
      <c r="A1083" t="s">
        <v>42</v>
      </c>
      <c r="B1083" t="s">
        <v>98</v>
      </c>
      <c r="C1083">
        <v>274</v>
      </c>
      <c r="D1083">
        <v>2</v>
      </c>
    </row>
    <row r="1084" spans="1:4" x14ac:dyDescent="0.3">
      <c r="A1084" t="s">
        <v>51</v>
      </c>
      <c r="B1084" t="s">
        <v>81</v>
      </c>
      <c r="C1084">
        <v>271.79000000000002</v>
      </c>
      <c r="D1084">
        <v>3</v>
      </c>
    </row>
    <row r="1085" spans="1:4" x14ac:dyDescent="0.3">
      <c r="A1085" t="s">
        <v>53</v>
      </c>
      <c r="B1085" t="s">
        <v>88</v>
      </c>
      <c r="C1085">
        <v>270.95</v>
      </c>
      <c r="D1085">
        <v>4</v>
      </c>
    </row>
    <row r="1086" spans="1:4" x14ac:dyDescent="0.3">
      <c r="A1086" t="s">
        <v>9</v>
      </c>
      <c r="B1086" t="s">
        <v>102</v>
      </c>
      <c r="C1086">
        <v>270.8</v>
      </c>
      <c r="D1086">
        <v>2</v>
      </c>
    </row>
    <row r="1087" spans="1:4" x14ac:dyDescent="0.3">
      <c r="A1087" t="s">
        <v>52</v>
      </c>
      <c r="B1087" t="s">
        <v>97</v>
      </c>
      <c r="C1087">
        <v>269.98</v>
      </c>
      <c r="D1087">
        <v>2</v>
      </c>
    </row>
    <row r="1088" spans="1:4" x14ac:dyDescent="0.3">
      <c r="A1088" t="s">
        <v>63</v>
      </c>
      <c r="B1088" t="s">
        <v>79</v>
      </c>
      <c r="C1088">
        <v>268.77999999999997</v>
      </c>
      <c r="D1088">
        <v>4</v>
      </c>
    </row>
    <row r="1089" spans="1:4" x14ac:dyDescent="0.3">
      <c r="A1089" t="s">
        <v>54</v>
      </c>
      <c r="B1089" t="s">
        <v>81</v>
      </c>
      <c r="C1089">
        <v>266.98</v>
      </c>
      <c r="D1089">
        <v>7</v>
      </c>
    </row>
    <row r="1090" spans="1:4" x14ac:dyDescent="0.3">
      <c r="A1090" t="s">
        <v>22</v>
      </c>
      <c r="B1090" t="s">
        <v>95</v>
      </c>
      <c r="C1090">
        <v>266.98</v>
      </c>
      <c r="D1090">
        <v>3</v>
      </c>
    </row>
    <row r="1091" spans="1:4" x14ac:dyDescent="0.3">
      <c r="A1091" t="s">
        <v>68</v>
      </c>
      <c r="B1091" t="s">
        <v>79</v>
      </c>
      <c r="C1091">
        <v>266</v>
      </c>
      <c r="D1091">
        <v>2</v>
      </c>
    </row>
    <row r="1092" spans="1:4" x14ac:dyDescent="0.3">
      <c r="A1092" t="s">
        <v>57</v>
      </c>
      <c r="B1092" t="s">
        <v>81</v>
      </c>
      <c r="C1092">
        <v>265.58</v>
      </c>
      <c r="D1092">
        <v>6</v>
      </c>
    </row>
    <row r="1093" spans="1:4" x14ac:dyDescent="0.3">
      <c r="A1093" t="s">
        <v>67</v>
      </c>
      <c r="B1093" t="s">
        <v>79</v>
      </c>
      <c r="C1093">
        <v>264.89999999999998</v>
      </c>
      <c r="D1093">
        <v>2</v>
      </c>
    </row>
    <row r="1094" spans="1:4" x14ac:dyDescent="0.3">
      <c r="A1094" t="s">
        <v>22</v>
      </c>
      <c r="B1094" t="s">
        <v>91</v>
      </c>
      <c r="C1094">
        <v>262.89999999999998</v>
      </c>
      <c r="D1094">
        <v>2</v>
      </c>
    </row>
    <row r="1095" spans="1:4" x14ac:dyDescent="0.3">
      <c r="A1095" t="s">
        <v>32</v>
      </c>
      <c r="B1095" t="s">
        <v>99</v>
      </c>
      <c r="C1095">
        <v>261.58</v>
      </c>
      <c r="D1095">
        <v>2</v>
      </c>
    </row>
    <row r="1096" spans="1:4" x14ac:dyDescent="0.3">
      <c r="A1096" t="s">
        <v>64</v>
      </c>
      <c r="B1096" t="s">
        <v>82</v>
      </c>
      <c r="C1096">
        <v>258.89999999999998</v>
      </c>
      <c r="D1096">
        <v>2</v>
      </c>
    </row>
    <row r="1097" spans="1:4" x14ac:dyDescent="0.3">
      <c r="A1097" t="s">
        <v>56</v>
      </c>
      <c r="B1097" t="s">
        <v>89</v>
      </c>
      <c r="C1097">
        <v>256.89</v>
      </c>
      <c r="D1097">
        <v>2</v>
      </c>
    </row>
    <row r="1098" spans="1:4" x14ac:dyDescent="0.3">
      <c r="A1098" t="s">
        <v>71</v>
      </c>
      <c r="B1098" t="s">
        <v>78</v>
      </c>
      <c r="C1098">
        <v>255.6</v>
      </c>
      <c r="D1098">
        <v>7</v>
      </c>
    </row>
    <row r="1099" spans="1:4" x14ac:dyDescent="0.3">
      <c r="A1099" t="s">
        <v>32</v>
      </c>
      <c r="B1099" t="s">
        <v>92</v>
      </c>
      <c r="C1099">
        <v>252.45</v>
      </c>
      <c r="D1099">
        <v>6</v>
      </c>
    </row>
    <row r="1100" spans="1:4" x14ac:dyDescent="0.3">
      <c r="A1100" t="s">
        <v>52</v>
      </c>
      <c r="B1100" t="s">
        <v>95</v>
      </c>
      <c r="C1100">
        <v>252</v>
      </c>
      <c r="D1100">
        <v>2</v>
      </c>
    </row>
    <row r="1101" spans="1:4" x14ac:dyDescent="0.3">
      <c r="A1101" t="s">
        <v>43</v>
      </c>
      <c r="B1101" t="s">
        <v>97</v>
      </c>
      <c r="C1101">
        <v>252</v>
      </c>
      <c r="D1101">
        <v>3</v>
      </c>
    </row>
    <row r="1102" spans="1:4" x14ac:dyDescent="0.3">
      <c r="A1102" t="s">
        <v>42</v>
      </c>
      <c r="B1102" t="s">
        <v>91</v>
      </c>
      <c r="C1102">
        <v>250</v>
      </c>
      <c r="D1102">
        <v>1</v>
      </c>
    </row>
    <row r="1103" spans="1:4" x14ac:dyDescent="0.3">
      <c r="A1103" t="s">
        <v>59</v>
      </c>
      <c r="B1103" t="s">
        <v>81</v>
      </c>
      <c r="C1103">
        <v>250</v>
      </c>
      <c r="D1103">
        <v>3</v>
      </c>
    </row>
    <row r="1104" spans="1:4" x14ac:dyDescent="0.3">
      <c r="A1104" t="s">
        <v>31</v>
      </c>
      <c r="B1104" t="s">
        <v>89</v>
      </c>
      <c r="C1104">
        <v>249.8</v>
      </c>
      <c r="D1104">
        <v>2</v>
      </c>
    </row>
    <row r="1105" spans="1:4" x14ac:dyDescent="0.3">
      <c r="A1105" t="s">
        <v>49</v>
      </c>
      <c r="B1105" t="s">
        <v>88</v>
      </c>
      <c r="C1105">
        <v>249.7</v>
      </c>
      <c r="D1105">
        <v>2</v>
      </c>
    </row>
    <row r="1106" spans="1:4" x14ac:dyDescent="0.3">
      <c r="A1106" t="s">
        <v>60</v>
      </c>
      <c r="B1106" t="s">
        <v>89</v>
      </c>
      <c r="C1106">
        <v>249.7</v>
      </c>
      <c r="D1106">
        <v>2</v>
      </c>
    </row>
    <row r="1107" spans="1:4" x14ac:dyDescent="0.3">
      <c r="A1107" t="s">
        <v>55</v>
      </c>
      <c r="B1107" t="s">
        <v>80</v>
      </c>
      <c r="C1107">
        <v>249</v>
      </c>
      <c r="D1107">
        <v>4</v>
      </c>
    </row>
    <row r="1108" spans="1:4" x14ac:dyDescent="0.3">
      <c r="A1108" t="s">
        <v>65</v>
      </c>
      <c r="B1108" t="s">
        <v>95</v>
      </c>
      <c r="C1108">
        <v>249</v>
      </c>
      <c r="D1108">
        <v>1</v>
      </c>
    </row>
    <row r="1109" spans="1:4" x14ac:dyDescent="0.3">
      <c r="A1109" t="s">
        <v>65</v>
      </c>
      <c r="B1109" t="s">
        <v>84</v>
      </c>
      <c r="C1109">
        <v>249</v>
      </c>
      <c r="D1109">
        <v>1</v>
      </c>
    </row>
    <row r="1110" spans="1:4" x14ac:dyDescent="0.3">
      <c r="A1110" t="s">
        <v>43</v>
      </c>
      <c r="B1110" t="s">
        <v>88</v>
      </c>
      <c r="C1110">
        <v>248</v>
      </c>
      <c r="D1110">
        <v>2</v>
      </c>
    </row>
    <row r="1111" spans="1:4" x14ac:dyDescent="0.3">
      <c r="A1111" t="s">
        <v>34</v>
      </c>
      <c r="B1111" t="s">
        <v>98</v>
      </c>
      <c r="C1111">
        <v>246.2</v>
      </c>
      <c r="D1111">
        <v>2</v>
      </c>
    </row>
    <row r="1112" spans="1:4" x14ac:dyDescent="0.3">
      <c r="A1112" t="s">
        <v>24</v>
      </c>
      <c r="B1112" t="s">
        <v>103</v>
      </c>
      <c r="C1112">
        <v>245.98</v>
      </c>
      <c r="D1112">
        <v>2</v>
      </c>
    </row>
    <row r="1113" spans="1:4" x14ac:dyDescent="0.3">
      <c r="A1113" t="s">
        <v>25</v>
      </c>
      <c r="B1113" t="s">
        <v>99</v>
      </c>
      <c r="C1113">
        <v>245.25</v>
      </c>
      <c r="D1113">
        <v>6</v>
      </c>
    </row>
    <row r="1114" spans="1:4" x14ac:dyDescent="0.3">
      <c r="A1114" t="s">
        <v>16</v>
      </c>
      <c r="B1114" t="s">
        <v>103</v>
      </c>
      <c r="C1114">
        <v>244</v>
      </c>
      <c r="D1114">
        <v>1</v>
      </c>
    </row>
    <row r="1115" spans="1:4" x14ac:dyDescent="0.3">
      <c r="A1115" t="s">
        <v>13</v>
      </c>
      <c r="B1115" t="s">
        <v>102</v>
      </c>
      <c r="C1115">
        <v>239.99</v>
      </c>
      <c r="D1115">
        <v>2</v>
      </c>
    </row>
    <row r="1116" spans="1:4" x14ac:dyDescent="0.3">
      <c r="A1116" t="s">
        <v>38</v>
      </c>
      <c r="B1116" t="s">
        <v>94</v>
      </c>
      <c r="C1116">
        <v>239.7</v>
      </c>
      <c r="D1116">
        <v>4</v>
      </c>
    </row>
    <row r="1117" spans="1:4" x14ac:dyDescent="0.3">
      <c r="A1117" t="s">
        <v>32</v>
      </c>
      <c r="B1117" t="s">
        <v>87</v>
      </c>
      <c r="C1117">
        <v>237.65</v>
      </c>
      <c r="D1117">
        <v>5</v>
      </c>
    </row>
    <row r="1118" spans="1:4" x14ac:dyDescent="0.3">
      <c r="A1118" t="s">
        <v>19</v>
      </c>
      <c r="B1118" t="s">
        <v>102</v>
      </c>
      <c r="C1118">
        <v>234.9</v>
      </c>
      <c r="D1118">
        <v>2</v>
      </c>
    </row>
    <row r="1119" spans="1:4" x14ac:dyDescent="0.3">
      <c r="A1119" t="s">
        <v>14</v>
      </c>
      <c r="B1119" t="s">
        <v>101</v>
      </c>
      <c r="C1119">
        <v>234.79</v>
      </c>
      <c r="D1119">
        <v>3</v>
      </c>
    </row>
    <row r="1120" spans="1:4" x14ac:dyDescent="0.3">
      <c r="A1120" t="s">
        <v>47</v>
      </c>
      <c r="B1120" t="s">
        <v>82</v>
      </c>
      <c r="C1120">
        <v>234.2</v>
      </c>
      <c r="D1120">
        <v>4</v>
      </c>
    </row>
    <row r="1121" spans="1:4" x14ac:dyDescent="0.3">
      <c r="A1121" t="s">
        <v>36</v>
      </c>
      <c r="B1121" t="s">
        <v>102</v>
      </c>
      <c r="C1121">
        <v>232.94</v>
      </c>
      <c r="D1121">
        <v>2</v>
      </c>
    </row>
    <row r="1122" spans="1:4" x14ac:dyDescent="0.3">
      <c r="A1122" t="s">
        <v>64</v>
      </c>
      <c r="B1122" t="s">
        <v>94</v>
      </c>
      <c r="C1122">
        <v>231.2</v>
      </c>
      <c r="D1122">
        <v>1</v>
      </c>
    </row>
    <row r="1123" spans="1:4" x14ac:dyDescent="0.3">
      <c r="A1123" t="s">
        <v>64</v>
      </c>
      <c r="B1123" t="s">
        <v>84</v>
      </c>
      <c r="C1123">
        <v>231.2</v>
      </c>
      <c r="D1123">
        <v>1</v>
      </c>
    </row>
    <row r="1124" spans="1:4" x14ac:dyDescent="0.3">
      <c r="A1124" t="s">
        <v>41</v>
      </c>
      <c r="B1124" t="s">
        <v>92</v>
      </c>
      <c r="C1124">
        <v>231</v>
      </c>
      <c r="D1124">
        <v>2</v>
      </c>
    </row>
    <row r="1125" spans="1:4" x14ac:dyDescent="0.3">
      <c r="A1125" t="s">
        <v>42</v>
      </c>
      <c r="B1125" t="s">
        <v>97</v>
      </c>
      <c r="C1125">
        <v>230</v>
      </c>
      <c r="D1125">
        <v>1</v>
      </c>
    </row>
    <row r="1126" spans="1:4" x14ac:dyDescent="0.3">
      <c r="A1126" t="s">
        <v>35</v>
      </c>
      <c r="B1126" t="s">
        <v>99</v>
      </c>
      <c r="C1126">
        <v>229</v>
      </c>
      <c r="D1126">
        <v>1</v>
      </c>
    </row>
    <row r="1127" spans="1:4" x14ac:dyDescent="0.3">
      <c r="A1127" t="s">
        <v>27</v>
      </c>
      <c r="B1127" t="s">
        <v>96</v>
      </c>
      <c r="C1127">
        <v>228.7</v>
      </c>
      <c r="D1127">
        <v>4</v>
      </c>
    </row>
    <row r="1128" spans="1:4" x14ac:dyDescent="0.3">
      <c r="A1128" t="s">
        <v>28</v>
      </c>
      <c r="B1128" t="s">
        <v>93</v>
      </c>
      <c r="C1128">
        <v>226.9</v>
      </c>
      <c r="D1128">
        <v>1</v>
      </c>
    </row>
    <row r="1129" spans="1:4" x14ac:dyDescent="0.3">
      <c r="A1129" t="s">
        <v>73</v>
      </c>
      <c r="B1129" t="s">
        <v>80</v>
      </c>
      <c r="C1129">
        <v>225</v>
      </c>
      <c r="D1129">
        <v>3</v>
      </c>
    </row>
    <row r="1130" spans="1:4" x14ac:dyDescent="0.3">
      <c r="A1130" t="s">
        <v>48</v>
      </c>
      <c r="B1130" t="s">
        <v>94</v>
      </c>
      <c r="C1130">
        <v>221.98</v>
      </c>
      <c r="D1130">
        <v>1</v>
      </c>
    </row>
    <row r="1131" spans="1:4" x14ac:dyDescent="0.3">
      <c r="A1131" t="s">
        <v>46</v>
      </c>
      <c r="B1131" t="s">
        <v>96</v>
      </c>
      <c r="C1131">
        <v>219.9</v>
      </c>
      <c r="D1131">
        <v>2</v>
      </c>
    </row>
    <row r="1132" spans="1:4" x14ac:dyDescent="0.3">
      <c r="A1132" t="s">
        <v>42</v>
      </c>
      <c r="B1132" t="s">
        <v>88</v>
      </c>
      <c r="C1132">
        <v>219.9</v>
      </c>
      <c r="D1132">
        <v>1</v>
      </c>
    </row>
    <row r="1133" spans="1:4" x14ac:dyDescent="0.3">
      <c r="A1133" t="s">
        <v>12</v>
      </c>
      <c r="B1133" t="s">
        <v>103</v>
      </c>
      <c r="C1133">
        <v>219.9</v>
      </c>
      <c r="D1133">
        <v>1</v>
      </c>
    </row>
    <row r="1134" spans="1:4" x14ac:dyDescent="0.3">
      <c r="A1134" t="s">
        <v>34</v>
      </c>
      <c r="B1134" t="s">
        <v>94</v>
      </c>
      <c r="C1134">
        <v>219.8</v>
      </c>
      <c r="D1134">
        <v>2</v>
      </c>
    </row>
    <row r="1135" spans="1:4" x14ac:dyDescent="0.3">
      <c r="A1135" t="s">
        <v>5</v>
      </c>
      <c r="B1135" t="s">
        <v>103</v>
      </c>
      <c r="C1135">
        <v>219</v>
      </c>
      <c r="D1135">
        <v>1</v>
      </c>
    </row>
    <row r="1136" spans="1:4" x14ac:dyDescent="0.3">
      <c r="A1136" t="s">
        <v>35</v>
      </c>
      <c r="B1136" t="s">
        <v>97</v>
      </c>
      <c r="C1136">
        <v>219</v>
      </c>
      <c r="D1136">
        <v>1</v>
      </c>
    </row>
    <row r="1137" spans="1:4" x14ac:dyDescent="0.3">
      <c r="A1137" t="s">
        <v>55</v>
      </c>
      <c r="B1137" t="s">
        <v>94</v>
      </c>
      <c r="C1137">
        <v>215.56</v>
      </c>
      <c r="D1137">
        <v>1</v>
      </c>
    </row>
    <row r="1138" spans="1:4" x14ac:dyDescent="0.3">
      <c r="A1138" t="s">
        <v>9</v>
      </c>
      <c r="B1138" t="s">
        <v>100</v>
      </c>
      <c r="C1138">
        <v>215.28</v>
      </c>
      <c r="D1138">
        <v>4</v>
      </c>
    </row>
    <row r="1139" spans="1:4" x14ac:dyDescent="0.3">
      <c r="A1139" t="s">
        <v>28</v>
      </c>
      <c r="B1139" t="s">
        <v>94</v>
      </c>
      <c r="C1139">
        <v>210</v>
      </c>
      <c r="D1139">
        <v>1</v>
      </c>
    </row>
    <row r="1140" spans="1:4" x14ac:dyDescent="0.3">
      <c r="A1140" t="s">
        <v>13</v>
      </c>
      <c r="B1140" t="s">
        <v>103</v>
      </c>
      <c r="C1140">
        <v>210</v>
      </c>
      <c r="D1140">
        <v>2</v>
      </c>
    </row>
    <row r="1141" spans="1:4" x14ac:dyDescent="0.3">
      <c r="A1141" t="s">
        <v>45</v>
      </c>
      <c r="B1141" t="s">
        <v>93</v>
      </c>
      <c r="C1141">
        <v>208.9</v>
      </c>
      <c r="D1141">
        <v>3</v>
      </c>
    </row>
    <row r="1142" spans="1:4" x14ac:dyDescent="0.3">
      <c r="A1142" t="s">
        <v>19</v>
      </c>
      <c r="B1142" t="s">
        <v>97</v>
      </c>
      <c r="C1142">
        <v>208.8</v>
      </c>
      <c r="D1142">
        <v>3</v>
      </c>
    </row>
    <row r="1143" spans="1:4" x14ac:dyDescent="0.3">
      <c r="A1143" t="s">
        <v>32</v>
      </c>
      <c r="B1143" t="s">
        <v>96</v>
      </c>
      <c r="C1143">
        <v>206.55</v>
      </c>
      <c r="D1143">
        <v>3</v>
      </c>
    </row>
    <row r="1144" spans="1:4" x14ac:dyDescent="0.3">
      <c r="A1144" t="s">
        <v>67</v>
      </c>
      <c r="B1144" t="s">
        <v>91</v>
      </c>
      <c r="C1144">
        <v>205.9</v>
      </c>
      <c r="D1144">
        <v>1</v>
      </c>
    </row>
    <row r="1145" spans="1:4" x14ac:dyDescent="0.3">
      <c r="A1145" t="s">
        <v>66</v>
      </c>
      <c r="B1145" t="s">
        <v>85</v>
      </c>
      <c r="C1145">
        <v>204.8</v>
      </c>
      <c r="D1145">
        <v>2</v>
      </c>
    </row>
    <row r="1146" spans="1:4" x14ac:dyDescent="0.3">
      <c r="A1146" t="s">
        <v>53</v>
      </c>
      <c r="B1146" t="s">
        <v>98</v>
      </c>
      <c r="C1146">
        <v>204.6</v>
      </c>
      <c r="D1146">
        <v>2</v>
      </c>
    </row>
    <row r="1147" spans="1:4" x14ac:dyDescent="0.3">
      <c r="A1147" t="s">
        <v>57</v>
      </c>
      <c r="B1147" t="s">
        <v>87</v>
      </c>
      <c r="C1147">
        <v>201.9</v>
      </c>
      <c r="D1147">
        <v>2</v>
      </c>
    </row>
    <row r="1148" spans="1:4" x14ac:dyDescent="0.3">
      <c r="A1148" t="s">
        <v>40</v>
      </c>
      <c r="B1148" t="s">
        <v>83</v>
      </c>
      <c r="C1148">
        <v>201.9</v>
      </c>
      <c r="D1148">
        <v>3</v>
      </c>
    </row>
    <row r="1149" spans="1:4" x14ac:dyDescent="0.3">
      <c r="A1149" t="s">
        <v>50</v>
      </c>
      <c r="B1149" t="s">
        <v>92</v>
      </c>
      <c r="C1149">
        <v>199.96</v>
      </c>
      <c r="D1149">
        <v>4</v>
      </c>
    </row>
    <row r="1150" spans="1:4" x14ac:dyDescent="0.3">
      <c r="A1150" t="s">
        <v>49</v>
      </c>
      <c r="B1150" t="s">
        <v>98</v>
      </c>
      <c r="C1150">
        <v>199.7</v>
      </c>
      <c r="D1150">
        <v>1</v>
      </c>
    </row>
    <row r="1151" spans="1:4" x14ac:dyDescent="0.3">
      <c r="A1151" t="s">
        <v>49</v>
      </c>
      <c r="B1151" t="s">
        <v>94</v>
      </c>
      <c r="C1151">
        <v>199.7</v>
      </c>
      <c r="D1151">
        <v>1</v>
      </c>
    </row>
    <row r="1152" spans="1:4" x14ac:dyDescent="0.3">
      <c r="A1152" t="s">
        <v>43</v>
      </c>
      <c r="B1152" t="s">
        <v>96</v>
      </c>
      <c r="C1152">
        <v>199</v>
      </c>
      <c r="D1152">
        <v>1</v>
      </c>
    </row>
    <row r="1153" spans="1:4" x14ac:dyDescent="0.3">
      <c r="A1153" t="s">
        <v>37</v>
      </c>
      <c r="B1153" t="s">
        <v>91</v>
      </c>
      <c r="C1153">
        <v>199</v>
      </c>
      <c r="D1153">
        <v>1</v>
      </c>
    </row>
    <row r="1154" spans="1:4" x14ac:dyDescent="0.3">
      <c r="A1154" t="s">
        <v>59</v>
      </c>
      <c r="B1154" t="s">
        <v>87</v>
      </c>
      <c r="C1154">
        <v>198</v>
      </c>
      <c r="D1154">
        <v>2</v>
      </c>
    </row>
    <row r="1155" spans="1:4" x14ac:dyDescent="0.3">
      <c r="A1155" t="s">
        <v>59</v>
      </c>
      <c r="B1155" t="s">
        <v>92</v>
      </c>
      <c r="C1155">
        <v>198</v>
      </c>
      <c r="D1155">
        <v>1</v>
      </c>
    </row>
    <row r="1156" spans="1:4" x14ac:dyDescent="0.3">
      <c r="A1156" t="s">
        <v>53</v>
      </c>
      <c r="B1156" t="s">
        <v>85</v>
      </c>
      <c r="C1156">
        <v>196.65</v>
      </c>
      <c r="D1156">
        <v>2</v>
      </c>
    </row>
    <row r="1157" spans="1:4" x14ac:dyDescent="0.3">
      <c r="A1157" t="s">
        <v>70</v>
      </c>
      <c r="B1157" t="s">
        <v>78</v>
      </c>
      <c r="C1157">
        <v>194.9</v>
      </c>
      <c r="D1157">
        <v>2</v>
      </c>
    </row>
    <row r="1158" spans="1:4" x14ac:dyDescent="0.3">
      <c r="A1158" t="s">
        <v>38</v>
      </c>
      <c r="B1158" t="s">
        <v>92</v>
      </c>
      <c r="C1158">
        <v>190.9</v>
      </c>
      <c r="D1158">
        <v>1</v>
      </c>
    </row>
    <row r="1159" spans="1:4" x14ac:dyDescent="0.3">
      <c r="A1159" t="s">
        <v>32</v>
      </c>
      <c r="B1159" t="s">
        <v>100</v>
      </c>
      <c r="C1159">
        <v>190.8</v>
      </c>
      <c r="D1159">
        <v>2</v>
      </c>
    </row>
    <row r="1160" spans="1:4" x14ac:dyDescent="0.3">
      <c r="A1160" t="s">
        <v>58</v>
      </c>
      <c r="B1160" t="s">
        <v>81</v>
      </c>
      <c r="C1160">
        <v>190.16</v>
      </c>
      <c r="D1160">
        <v>6</v>
      </c>
    </row>
    <row r="1161" spans="1:4" x14ac:dyDescent="0.3">
      <c r="A1161" t="s">
        <v>54</v>
      </c>
      <c r="B1161" t="s">
        <v>87</v>
      </c>
      <c r="C1161">
        <v>190</v>
      </c>
      <c r="D1161">
        <v>1</v>
      </c>
    </row>
    <row r="1162" spans="1:4" x14ac:dyDescent="0.3">
      <c r="A1162" t="s">
        <v>54</v>
      </c>
      <c r="B1162" t="s">
        <v>90</v>
      </c>
      <c r="C1162">
        <v>190</v>
      </c>
      <c r="D1162">
        <v>1</v>
      </c>
    </row>
    <row r="1163" spans="1:4" x14ac:dyDescent="0.3">
      <c r="A1163" t="s">
        <v>45</v>
      </c>
      <c r="B1163" t="s">
        <v>96</v>
      </c>
      <c r="C1163">
        <v>189.9</v>
      </c>
      <c r="D1163">
        <v>1</v>
      </c>
    </row>
    <row r="1164" spans="1:4" x14ac:dyDescent="0.3">
      <c r="A1164" t="s">
        <v>38</v>
      </c>
      <c r="B1164" t="s">
        <v>95</v>
      </c>
      <c r="C1164">
        <v>189</v>
      </c>
      <c r="D1164">
        <v>1</v>
      </c>
    </row>
    <row r="1165" spans="1:4" x14ac:dyDescent="0.3">
      <c r="A1165" t="s">
        <v>18</v>
      </c>
      <c r="B1165" t="s">
        <v>100</v>
      </c>
      <c r="C1165">
        <v>184.8</v>
      </c>
      <c r="D1165">
        <v>2</v>
      </c>
    </row>
    <row r="1166" spans="1:4" x14ac:dyDescent="0.3">
      <c r="A1166" t="s">
        <v>41</v>
      </c>
      <c r="B1166" t="s">
        <v>93</v>
      </c>
      <c r="C1166">
        <v>184.69</v>
      </c>
      <c r="D1166">
        <v>3</v>
      </c>
    </row>
    <row r="1167" spans="1:4" x14ac:dyDescent="0.3">
      <c r="A1167" t="s">
        <v>75</v>
      </c>
      <c r="B1167" t="s">
        <v>99</v>
      </c>
      <c r="C1167">
        <v>183.29</v>
      </c>
      <c r="D1167">
        <v>1</v>
      </c>
    </row>
    <row r="1168" spans="1:4" x14ac:dyDescent="0.3">
      <c r="A1168" t="s">
        <v>57</v>
      </c>
      <c r="B1168" t="s">
        <v>89</v>
      </c>
      <c r="C1168">
        <v>181.7</v>
      </c>
      <c r="D1168">
        <v>3</v>
      </c>
    </row>
    <row r="1169" spans="1:4" x14ac:dyDescent="0.3">
      <c r="A1169" t="s">
        <v>47</v>
      </c>
      <c r="B1169" t="s">
        <v>92</v>
      </c>
      <c r="C1169">
        <v>180.99</v>
      </c>
      <c r="D1169">
        <v>2</v>
      </c>
    </row>
    <row r="1170" spans="1:4" x14ac:dyDescent="0.3">
      <c r="A1170" t="s">
        <v>46</v>
      </c>
      <c r="B1170" t="s">
        <v>100</v>
      </c>
      <c r="C1170">
        <v>180</v>
      </c>
      <c r="D1170">
        <v>1</v>
      </c>
    </row>
    <row r="1171" spans="1:4" x14ac:dyDescent="0.3">
      <c r="A1171" t="s">
        <v>34</v>
      </c>
      <c r="B1171" t="s">
        <v>89</v>
      </c>
      <c r="C1171">
        <v>179.99</v>
      </c>
      <c r="D1171">
        <v>1</v>
      </c>
    </row>
    <row r="1172" spans="1:4" x14ac:dyDescent="0.3">
      <c r="A1172" t="s">
        <v>52</v>
      </c>
      <c r="B1172" t="s">
        <v>92</v>
      </c>
      <c r="C1172">
        <v>179</v>
      </c>
      <c r="D1172">
        <v>1</v>
      </c>
    </row>
    <row r="1173" spans="1:4" x14ac:dyDescent="0.3">
      <c r="A1173" t="s">
        <v>38</v>
      </c>
      <c r="B1173" t="s">
        <v>98</v>
      </c>
      <c r="C1173">
        <v>175</v>
      </c>
      <c r="D1173">
        <v>1</v>
      </c>
    </row>
    <row r="1174" spans="1:4" x14ac:dyDescent="0.3">
      <c r="A1174" t="s">
        <v>24</v>
      </c>
      <c r="B1174" t="s">
        <v>97</v>
      </c>
      <c r="C1174">
        <v>173.75</v>
      </c>
      <c r="D1174">
        <v>2</v>
      </c>
    </row>
    <row r="1175" spans="1:4" x14ac:dyDescent="0.3">
      <c r="A1175" t="s">
        <v>21</v>
      </c>
      <c r="B1175" t="s">
        <v>97</v>
      </c>
      <c r="C1175">
        <v>172.54</v>
      </c>
      <c r="D1175">
        <v>3</v>
      </c>
    </row>
    <row r="1176" spans="1:4" x14ac:dyDescent="0.3">
      <c r="A1176" t="s">
        <v>41</v>
      </c>
      <c r="B1176" t="s">
        <v>89</v>
      </c>
      <c r="C1176">
        <v>171.69</v>
      </c>
      <c r="D1176">
        <v>3</v>
      </c>
    </row>
    <row r="1177" spans="1:4" x14ac:dyDescent="0.3">
      <c r="A1177" t="s">
        <v>53</v>
      </c>
      <c r="B1177" t="s">
        <v>92</v>
      </c>
      <c r="C1177">
        <v>170.85</v>
      </c>
      <c r="D1177">
        <v>4</v>
      </c>
    </row>
    <row r="1178" spans="1:4" x14ac:dyDescent="0.3">
      <c r="A1178" t="s">
        <v>51</v>
      </c>
      <c r="B1178" t="s">
        <v>97</v>
      </c>
      <c r="C1178">
        <v>169.98</v>
      </c>
      <c r="D1178">
        <v>1</v>
      </c>
    </row>
    <row r="1179" spans="1:4" x14ac:dyDescent="0.3">
      <c r="A1179" t="s">
        <v>48</v>
      </c>
      <c r="B1179" t="s">
        <v>89</v>
      </c>
      <c r="C1179">
        <v>169.89</v>
      </c>
      <c r="D1179">
        <v>2</v>
      </c>
    </row>
    <row r="1180" spans="1:4" x14ac:dyDescent="0.3">
      <c r="A1180" t="s">
        <v>49</v>
      </c>
      <c r="B1180" t="s">
        <v>99</v>
      </c>
      <c r="C1180">
        <v>169.79</v>
      </c>
      <c r="D1180">
        <v>1</v>
      </c>
    </row>
    <row r="1181" spans="1:4" x14ac:dyDescent="0.3">
      <c r="A1181" t="s">
        <v>67</v>
      </c>
      <c r="B1181" t="s">
        <v>82</v>
      </c>
      <c r="C1181">
        <v>169.75</v>
      </c>
      <c r="D1181">
        <v>3</v>
      </c>
    </row>
    <row r="1182" spans="1:4" x14ac:dyDescent="0.3">
      <c r="A1182" t="s">
        <v>47</v>
      </c>
      <c r="B1182" t="s">
        <v>95</v>
      </c>
      <c r="C1182">
        <v>163.69999999999999</v>
      </c>
      <c r="D1182">
        <v>3</v>
      </c>
    </row>
    <row r="1183" spans="1:4" x14ac:dyDescent="0.3">
      <c r="A1183" t="s">
        <v>58</v>
      </c>
      <c r="B1183" t="s">
        <v>88</v>
      </c>
      <c r="C1183">
        <v>159.80000000000001</v>
      </c>
      <c r="D1183">
        <v>2</v>
      </c>
    </row>
    <row r="1184" spans="1:4" x14ac:dyDescent="0.3">
      <c r="A1184" t="s">
        <v>67</v>
      </c>
      <c r="B1184" t="s">
        <v>89</v>
      </c>
      <c r="C1184">
        <v>159.6</v>
      </c>
      <c r="D1184">
        <v>1</v>
      </c>
    </row>
    <row r="1185" spans="1:4" x14ac:dyDescent="0.3">
      <c r="A1185" t="s">
        <v>52</v>
      </c>
      <c r="B1185" t="s">
        <v>85</v>
      </c>
      <c r="C1185">
        <v>159</v>
      </c>
      <c r="D1185">
        <v>1</v>
      </c>
    </row>
    <row r="1186" spans="1:4" x14ac:dyDescent="0.3">
      <c r="A1186" t="s">
        <v>63</v>
      </c>
      <c r="B1186" t="s">
        <v>80</v>
      </c>
      <c r="C1186">
        <v>153.6</v>
      </c>
      <c r="D1186">
        <v>4</v>
      </c>
    </row>
    <row r="1187" spans="1:4" x14ac:dyDescent="0.3">
      <c r="A1187" t="s">
        <v>59</v>
      </c>
      <c r="B1187" t="s">
        <v>91</v>
      </c>
      <c r="C1187">
        <v>152.99</v>
      </c>
      <c r="D1187">
        <v>1</v>
      </c>
    </row>
    <row r="1188" spans="1:4" x14ac:dyDescent="0.3">
      <c r="A1188" t="s">
        <v>57</v>
      </c>
      <c r="B1188" t="s">
        <v>94</v>
      </c>
      <c r="C1188">
        <v>152</v>
      </c>
      <c r="D1188">
        <v>1</v>
      </c>
    </row>
    <row r="1189" spans="1:4" x14ac:dyDescent="0.3">
      <c r="A1189" t="s">
        <v>50</v>
      </c>
      <c r="B1189" t="s">
        <v>88</v>
      </c>
      <c r="C1189">
        <v>150.47</v>
      </c>
      <c r="D1189">
        <v>2</v>
      </c>
    </row>
    <row r="1190" spans="1:4" x14ac:dyDescent="0.3">
      <c r="A1190" t="s">
        <v>43</v>
      </c>
      <c r="B1190" t="s">
        <v>95</v>
      </c>
      <c r="C1190">
        <v>150</v>
      </c>
      <c r="D1190">
        <v>1</v>
      </c>
    </row>
    <row r="1191" spans="1:4" x14ac:dyDescent="0.3">
      <c r="A1191" t="s">
        <v>46</v>
      </c>
      <c r="B1191" t="s">
        <v>99</v>
      </c>
      <c r="C1191">
        <v>149.99</v>
      </c>
      <c r="D1191">
        <v>1</v>
      </c>
    </row>
    <row r="1192" spans="1:4" x14ac:dyDescent="0.3">
      <c r="A1192" t="s">
        <v>45</v>
      </c>
      <c r="B1192" t="s">
        <v>100</v>
      </c>
      <c r="C1192">
        <v>149.9</v>
      </c>
      <c r="D1192">
        <v>1</v>
      </c>
    </row>
    <row r="1193" spans="1:4" x14ac:dyDescent="0.3">
      <c r="A1193" t="s">
        <v>61</v>
      </c>
      <c r="B1193" t="s">
        <v>88</v>
      </c>
      <c r="C1193">
        <v>149.9</v>
      </c>
      <c r="D1193">
        <v>1</v>
      </c>
    </row>
    <row r="1194" spans="1:4" x14ac:dyDescent="0.3">
      <c r="A1194" t="s">
        <v>45</v>
      </c>
      <c r="B1194" t="s">
        <v>94</v>
      </c>
      <c r="C1194">
        <v>149.9</v>
      </c>
      <c r="D1194">
        <v>1</v>
      </c>
    </row>
    <row r="1195" spans="1:4" x14ac:dyDescent="0.3">
      <c r="A1195" t="s">
        <v>51</v>
      </c>
      <c r="B1195" t="s">
        <v>89</v>
      </c>
      <c r="C1195">
        <v>149.69999999999999</v>
      </c>
      <c r="D1195">
        <v>1</v>
      </c>
    </row>
    <row r="1196" spans="1:4" x14ac:dyDescent="0.3">
      <c r="A1196" t="s">
        <v>53</v>
      </c>
      <c r="B1196" t="s">
        <v>89</v>
      </c>
      <c r="C1196">
        <v>148.88999999999999</v>
      </c>
      <c r="D1196">
        <v>2</v>
      </c>
    </row>
    <row r="1197" spans="1:4" x14ac:dyDescent="0.3">
      <c r="A1197" t="s">
        <v>48</v>
      </c>
      <c r="B1197" t="s">
        <v>99</v>
      </c>
      <c r="C1197">
        <v>148.63999999999999</v>
      </c>
      <c r="D1197">
        <v>2</v>
      </c>
    </row>
    <row r="1198" spans="1:4" x14ac:dyDescent="0.3">
      <c r="A1198" t="s">
        <v>25</v>
      </c>
      <c r="B1198" t="s">
        <v>98</v>
      </c>
      <c r="C1198">
        <v>148.28</v>
      </c>
      <c r="D1198">
        <v>6</v>
      </c>
    </row>
    <row r="1199" spans="1:4" x14ac:dyDescent="0.3">
      <c r="A1199" t="s">
        <v>56</v>
      </c>
      <c r="B1199" t="s">
        <v>90</v>
      </c>
      <c r="C1199">
        <v>147.5</v>
      </c>
      <c r="D1199">
        <v>1</v>
      </c>
    </row>
    <row r="1200" spans="1:4" x14ac:dyDescent="0.3">
      <c r="A1200" t="s">
        <v>57</v>
      </c>
      <c r="B1200" t="s">
        <v>84</v>
      </c>
      <c r="C1200">
        <v>146.15</v>
      </c>
      <c r="D1200">
        <v>2</v>
      </c>
    </row>
    <row r="1201" spans="1:4" x14ac:dyDescent="0.3">
      <c r="A1201" t="s">
        <v>48</v>
      </c>
      <c r="B1201" t="s">
        <v>102</v>
      </c>
      <c r="C1201">
        <v>145.88999999999999</v>
      </c>
      <c r="D1201">
        <v>2</v>
      </c>
    </row>
    <row r="1202" spans="1:4" x14ac:dyDescent="0.3">
      <c r="A1202" t="s">
        <v>40</v>
      </c>
      <c r="B1202" t="s">
        <v>96</v>
      </c>
      <c r="C1202">
        <v>144</v>
      </c>
      <c r="D1202">
        <v>1</v>
      </c>
    </row>
    <row r="1203" spans="1:4" x14ac:dyDescent="0.3">
      <c r="A1203" t="s">
        <v>32</v>
      </c>
      <c r="B1203" t="s">
        <v>98</v>
      </c>
      <c r="C1203">
        <v>143.75</v>
      </c>
      <c r="D1203">
        <v>1</v>
      </c>
    </row>
    <row r="1204" spans="1:4" x14ac:dyDescent="0.3">
      <c r="A1204" t="s">
        <v>49</v>
      </c>
      <c r="B1204" t="s">
        <v>93</v>
      </c>
      <c r="C1204">
        <v>143.63999999999999</v>
      </c>
      <c r="D1204">
        <v>1</v>
      </c>
    </row>
    <row r="1205" spans="1:4" x14ac:dyDescent="0.3">
      <c r="A1205" t="s">
        <v>40</v>
      </c>
      <c r="B1205" t="s">
        <v>88</v>
      </c>
      <c r="C1205">
        <v>140</v>
      </c>
      <c r="D1205">
        <v>1</v>
      </c>
    </row>
    <row r="1206" spans="1:4" x14ac:dyDescent="0.3">
      <c r="A1206" t="s">
        <v>34</v>
      </c>
      <c r="B1206" t="s">
        <v>99</v>
      </c>
      <c r="C1206">
        <v>139.9</v>
      </c>
      <c r="D1206">
        <v>1</v>
      </c>
    </row>
    <row r="1207" spans="1:4" x14ac:dyDescent="0.3">
      <c r="A1207" t="s">
        <v>47</v>
      </c>
      <c r="B1207" t="s">
        <v>89</v>
      </c>
      <c r="C1207">
        <v>139.9</v>
      </c>
      <c r="D1207">
        <v>1</v>
      </c>
    </row>
    <row r="1208" spans="1:4" x14ac:dyDescent="0.3">
      <c r="A1208" t="s">
        <v>58</v>
      </c>
      <c r="B1208" t="s">
        <v>99</v>
      </c>
      <c r="C1208">
        <v>138.9</v>
      </c>
      <c r="D1208">
        <v>2</v>
      </c>
    </row>
    <row r="1209" spans="1:4" x14ac:dyDescent="0.3">
      <c r="A1209" t="s">
        <v>44</v>
      </c>
      <c r="B1209" t="s">
        <v>95</v>
      </c>
      <c r="C1209">
        <v>138.9</v>
      </c>
      <c r="D1209">
        <v>1</v>
      </c>
    </row>
    <row r="1210" spans="1:4" x14ac:dyDescent="0.3">
      <c r="A1210" t="s">
        <v>68</v>
      </c>
      <c r="B1210" t="s">
        <v>85</v>
      </c>
      <c r="C1210">
        <v>137</v>
      </c>
      <c r="D1210">
        <v>1</v>
      </c>
    </row>
    <row r="1211" spans="1:4" x14ac:dyDescent="0.3">
      <c r="A1211" t="s">
        <v>62</v>
      </c>
      <c r="B1211" t="s">
        <v>80</v>
      </c>
      <c r="C1211">
        <v>136.88999999999999</v>
      </c>
      <c r="D1211">
        <v>2</v>
      </c>
    </row>
    <row r="1212" spans="1:4" x14ac:dyDescent="0.3">
      <c r="A1212" t="s">
        <v>43</v>
      </c>
      <c r="B1212" t="s">
        <v>86</v>
      </c>
      <c r="C1212">
        <v>136</v>
      </c>
      <c r="D1212">
        <v>2</v>
      </c>
    </row>
    <row r="1213" spans="1:4" x14ac:dyDescent="0.3">
      <c r="A1213" t="s">
        <v>41</v>
      </c>
      <c r="B1213" t="s">
        <v>97</v>
      </c>
      <c r="C1213">
        <v>135</v>
      </c>
      <c r="D1213">
        <v>1</v>
      </c>
    </row>
    <row r="1214" spans="1:4" x14ac:dyDescent="0.3">
      <c r="A1214" t="s">
        <v>41</v>
      </c>
      <c r="B1214" t="s">
        <v>94</v>
      </c>
      <c r="C1214">
        <v>133.9</v>
      </c>
      <c r="D1214">
        <v>1</v>
      </c>
    </row>
    <row r="1215" spans="1:4" x14ac:dyDescent="0.3">
      <c r="A1215" t="s">
        <v>47</v>
      </c>
      <c r="B1215" t="s">
        <v>100</v>
      </c>
      <c r="C1215">
        <v>132.80000000000001</v>
      </c>
      <c r="D1215">
        <v>2</v>
      </c>
    </row>
    <row r="1216" spans="1:4" x14ac:dyDescent="0.3">
      <c r="A1216" t="s">
        <v>48</v>
      </c>
      <c r="B1216" t="s">
        <v>92</v>
      </c>
      <c r="C1216">
        <v>129.99</v>
      </c>
      <c r="D1216">
        <v>1</v>
      </c>
    </row>
    <row r="1217" spans="1:4" x14ac:dyDescent="0.3">
      <c r="A1217" t="s">
        <v>62</v>
      </c>
      <c r="B1217" t="s">
        <v>89</v>
      </c>
      <c r="C1217">
        <v>129.97999999999999</v>
      </c>
      <c r="D1217">
        <v>1</v>
      </c>
    </row>
    <row r="1218" spans="1:4" x14ac:dyDescent="0.3">
      <c r="A1218" t="s">
        <v>11</v>
      </c>
      <c r="B1218" t="s">
        <v>103</v>
      </c>
      <c r="C1218">
        <v>129.97999999999999</v>
      </c>
      <c r="D1218">
        <v>2</v>
      </c>
    </row>
    <row r="1219" spans="1:4" x14ac:dyDescent="0.3">
      <c r="A1219" t="s">
        <v>66</v>
      </c>
      <c r="B1219" t="s">
        <v>84</v>
      </c>
      <c r="C1219">
        <v>129.9</v>
      </c>
      <c r="D1219">
        <v>1</v>
      </c>
    </row>
    <row r="1220" spans="1:4" x14ac:dyDescent="0.3">
      <c r="A1220" t="s">
        <v>67</v>
      </c>
      <c r="B1220" t="s">
        <v>78</v>
      </c>
      <c r="C1220">
        <v>129.80000000000001</v>
      </c>
      <c r="D1220">
        <v>2</v>
      </c>
    </row>
    <row r="1221" spans="1:4" x14ac:dyDescent="0.3">
      <c r="A1221" t="s">
        <v>46</v>
      </c>
      <c r="B1221" t="s">
        <v>95</v>
      </c>
      <c r="C1221">
        <v>129.80000000000001</v>
      </c>
      <c r="D1221">
        <v>2</v>
      </c>
    </row>
    <row r="1222" spans="1:4" x14ac:dyDescent="0.3">
      <c r="A1222" t="s">
        <v>69</v>
      </c>
      <c r="B1222" t="s">
        <v>84</v>
      </c>
      <c r="C1222">
        <v>129.49</v>
      </c>
      <c r="D1222">
        <v>1</v>
      </c>
    </row>
    <row r="1223" spans="1:4" x14ac:dyDescent="0.3">
      <c r="A1223" t="s">
        <v>52</v>
      </c>
      <c r="B1223" t="s">
        <v>87</v>
      </c>
      <c r="C1223">
        <v>129</v>
      </c>
      <c r="D1223">
        <v>1</v>
      </c>
    </row>
    <row r="1224" spans="1:4" x14ac:dyDescent="0.3">
      <c r="A1224" t="s">
        <v>40</v>
      </c>
      <c r="B1224" t="s">
        <v>98</v>
      </c>
      <c r="C1224">
        <v>129</v>
      </c>
      <c r="D1224">
        <v>1</v>
      </c>
    </row>
    <row r="1225" spans="1:4" x14ac:dyDescent="0.3">
      <c r="A1225" t="s">
        <v>58</v>
      </c>
      <c r="B1225" t="s">
        <v>86</v>
      </c>
      <c r="C1225">
        <v>126.22</v>
      </c>
      <c r="D1225">
        <v>2</v>
      </c>
    </row>
    <row r="1226" spans="1:4" x14ac:dyDescent="0.3">
      <c r="A1226" t="s">
        <v>43</v>
      </c>
      <c r="B1226" t="s">
        <v>91</v>
      </c>
      <c r="C1226">
        <v>125</v>
      </c>
      <c r="D1226">
        <v>1</v>
      </c>
    </row>
    <row r="1227" spans="1:4" x14ac:dyDescent="0.3">
      <c r="A1227" t="s">
        <v>67</v>
      </c>
      <c r="B1227" t="s">
        <v>83</v>
      </c>
      <c r="C1227">
        <v>124.89</v>
      </c>
      <c r="D1227">
        <v>2</v>
      </c>
    </row>
    <row r="1228" spans="1:4" x14ac:dyDescent="0.3">
      <c r="A1228" t="s">
        <v>62</v>
      </c>
      <c r="B1228" t="s">
        <v>81</v>
      </c>
      <c r="C1228">
        <v>121.99</v>
      </c>
      <c r="D1228">
        <v>2</v>
      </c>
    </row>
    <row r="1229" spans="1:4" x14ac:dyDescent="0.3">
      <c r="A1229" t="s">
        <v>63</v>
      </c>
      <c r="B1229" t="s">
        <v>84</v>
      </c>
      <c r="C1229">
        <v>120.79</v>
      </c>
      <c r="D1229">
        <v>3</v>
      </c>
    </row>
    <row r="1230" spans="1:4" x14ac:dyDescent="0.3">
      <c r="A1230" t="s">
        <v>53</v>
      </c>
      <c r="B1230" t="s">
        <v>94</v>
      </c>
      <c r="C1230">
        <v>120</v>
      </c>
      <c r="D1230">
        <v>2</v>
      </c>
    </row>
    <row r="1231" spans="1:4" x14ac:dyDescent="0.3">
      <c r="A1231" t="s">
        <v>30</v>
      </c>
      <c r="B1231" t="s">
        <v>97</v>
      </c>
      <c r="C1231">
        <v>119.99</v>
      </c>
      <c r="D1231">
        <v>1</v>
      </c>
    </row>
    <row r="1232" spans="1:4" x14ac:dyDescent="0.3">
      <c r="A1232" t="s">
        <v>55</v>
      </c>
      <c r="B1232" t="s">
        <v>97</v>
      </c>
      <c r="C1232">
        <v>119.9</v>
      </c>
      <c r="D1232">
        <v>1</v>
      </c>
    </row>
    <row r="1233" spans="1:4" x14ac:dyDescent="0.3">
      <c r="A1233" t="s">
        <v>65</v>
      </c>
      <c r="B1233" t="s">
        <v>82</v>
      </c>
      <c r="C1233">
        <v>119.7</v>
      </c>
      <c r="D1233">
        <v>2</v>
      </c>
    </row>
    <row r="1234" spans="1:4" x14ac:dyDescent="0.3">
      <c r="A1234" t="s">
        <v>60</v>
      </c>
      <c r="B1234" t="s">
        <v>85</v>
      </c>
      <c r="C1234">
        <v>119</v>
      </c>
      <c r="D1234">
        <v>1</v>
      </c>
    </row>
    <row r="1235" spans="1:4" x14ac:dyDescent="0.3">
      <c r="A1235" t="s">
        <v>46</v>
      </c>
      <c r="B1235" t="s">
        <v>92</v>
      </c>
      <c r="C1235">
        <v>118.89</v>
      </c>
      <c r="D1235">
        <v>2</v>
      </c>
    </row>
    <row r="1236" spans="1:4" x14ac:dyDescent="0.3">
      <c r="A1236" t="s">
        <v>58</v>
      </c>
      <c r="B1236" t="s">
        <v>91</v>
      </c>
      <c r="C1236">
        <v>116.9</v>
      </c>
      <c r="D1236">
        <v>1</v>
      </c>
    </row>
    <row r="1237" spans="1:4" x14ac:dyDescent="0.3">
      <c r="A1237" t="s">
        <v>66</v>
      </c>
      <c r="B1237" t="s">
        <v>86</v>
      </c>
      <c r="C1237">
        <v>115</v>
      </c>
      <c r="D1237">
        <v>1</v>
      </c>
    </row>
    <row r="1238" spans="1:4" x14ac:dyDescent="0.3">
      <c r="A1238" t="s">
        <v>48</v>
      </c>
      <c r="B1238" t="s">
        <v>93</v>
      </c>
      <c r="C1238">
        <v>110.99</v>
      </c>
      <c r="D1238">
        <v>1</v>
      </c>
    </row>
    <row r="1239" spans="1:4" x14ac:dyDescent="0.3">
      <c r="A1239" t="s">
        <v>48</v>
      </c>
      <c r="B1239" t="s">
        <v>87</v>
      </c>
      <c r="C1239">
        <v>110.99</v>
      </c>
      <c r="D1239">
        <v>1</v>
      </c>
    </row>
    <row r="1240" spans="1:4" x14ac:dyDescent="0.3">
      <c r="A1240" t="s">
        <v>57</v>
      </c>
      <c r="B1240" t="s">
        <v>86</v>
      </c>
      <c r="C1240">
        <v>110</v>
      </c>
      <c r="D1240">
        <v>1</v>
      </c>
    </row>
    <row r="1241" spans="1:4" x14ac:dyDescent="0.3">
      <c r="A1241" t="s">
        <v>74</v>
      </c>
      <c r="B1241" t="s">
        <v>78</v>
      </c>
      <c r="C1241">
        <v>110</v>
      </c>
      <c r="D1241">
        <v>1</v>
      </c>
    </row>
    <row r="1242" spans="1:4" x14ac:dyDescent="0.3">
      <c r="A1242" t="s">
        <v>72</v>
      </c>
      <c r="B1242" t="s">
        <v>80</v>
      </c>
      <c r="C1242">
        <v>109.99</v>
      </c>
      <c r="D1242">
        <v>1</v>
      </c>
    </row>
    <row r="1243" spans="1:4" x14ac:dyDescent="0.3">
      <c r="A1243" t="s">
        <v>66</v>
      </c>
      <c r="B1243" t="s">
        <v>93</v>
      </c>
      <c r="C1243">
        <v>109.8</v>
      </c>
      <c r="D1243">
        <v>1</v>
      </c>
    </row>
    <row r="1244" spans="1:4" x14ac:dyDescent="0.3">
      <c r="A1244" t="s">
        <v>66</v>
      </c>
      <c r="B1244" t="s">
        <v>78</v>
      </c>
      <c r="C1244">
        <v>109.8</v>
      </c>
      <c r="D1244">
        <v>2</v>
      </c>
    </row>
    <row r="1245" spans="1:4" x14ac:dyDescent="0.3">
      <c r="A1245" t="s">
        <v>71</v>
      </c>
      <c r="B1245" t="s">
        <v>87</v>
      </c>
      <c r="C1245">
        <v>109.8</v>
      </c>
      <c r="D1245">
        <v>1</v>
      </c>
    </row>
    <row r="1246" spans="1:4" x14ac:dyDescent="0.3">
      <c r="A1246" t="s">
        <v>53</v>
      </c>
      <c r="B1246" t="s">
        <v>91</v>
      </c>
      <c r="C1246">
        <v>105.79</v>
      </c>
      <c r="D1246">
        <v>3</v>
      </c>
    </row>
    <row r="1247" spans="1:4" x14ac:dyDescent="0.3">
      <c r="A1247" t="s">
        <v>50</v>
      </c>
      <c r="B1247" t="s">
        <v>89</v>
      </c>
      <c r="C1247">
        <v>105</v>
      </c>
      <c r="D1247">
        <v>1</v>
      </c>
    </row>
    <row r="1248" spans="1:4" x14ac:dyDescent="0.3">
      <c r="A1248" t="s">
        <v>63</v>
      </c>
      <c r="B1248" t="s">
        <v>81</v>
      </c>
      <c r="C1248">
        <v>104.5</v>
      </c>
      <c r="D1248">
        <v>3</v>
      </c>
    </row>
    <row r="1249" spans="1:4" x14ac:dyDescent="0.3">
      <c r="A1249" t="s">
        <v>55</v>
      </c>
      <c r="B1249" t="s">
        <v>91</v>
      </c>
      <c r="C1249">
        <v>103.99</v>
      </c>
      <c r="D1249">
        <v>2</v>
      </c>
    </row>
    <row r="1250" spans="1:4" x14ac:dyDescent="0.3">
      <c r="A1250" t="s">
        <v>46</v>
      </c>
      <c r="B1250" t="s">
        <v>94</v>
      </c>
      <c r="C1250">
        <v>102.89</v>
      </c>
      <c r="D1250">
        <v>2</v>
      </c>
    </row>
    <row r="1251" spans="1:4" x14ac:dyDescent="0.3">
      <c r="A1251" t="s">
        <v>17</v>
      </c>
      <c r="B1251" t="s">
        <v>103</v>
      </c>
      <c r="C1251">
        <v>100.43</v>
      </c>
      <c r="D1251">
        <v>4</v>
      </c>
    </row>
    <row r="1252" spans="1:4" x14ac:dyDescent="0.3">
      <c r="A1252" t="s">
        <v>47</v>
      </c>
      <c r="B1252" t="s">
        <v>99</v>
      </c>
      <c r="C1252">
        <v>100.37</v>
      </c>
      <c r="D1252">
        <v>2</v>
      </c>
    </row>
    <row r="1253" spans="1:4" x14ac:dyDescent="0.3">
      <c r="A1253" t="s">
        <v>75</v>
      </c>
      <c r="B1253" t="s">
        <v>84</v>
      </c>
      <c r="C1253">
        <v>100</v>
      </c>
      <c r="D1253">
        <v>1</v>
      </c>
    </row>
    <row r="1254" spans="1:4" x14ac:dyDescent="0.3">
      <c r="A1254" t="s">
        <v>11</v>
      </c>
      <c r="B1254" t="s">
        <v>101</v>
      </c>
      <c r="C1254">
        <v>99.99</v>
      </c>
      <c r="D1254">
        <v>1</v>
      </c>
    </row>
    <row r="1255" spans="1:4" x14ac:dyDescent="0.3">
      <c r="A1255" t="s">
        <v>60</v>
      </c>
      <c r="B1255" t="s">
        <v>84</v>
      </c>
      <c r="C1255">
        <v>99.95</v>
      </c>
      <c r="D1255">
        <v>1</v>
      </c>
    </row>
    <row r="1256" spans="1:4" x14ac:dyDescent="0.3">
      <c r="A1256" t="s">
        <v>52</v>
      </c>
      <c r="B1256" t="s">
        <v>86</v>
      </c>
      <c r="C1256">
        <v>99.9</v>
      </c>
      <c r="D1256">
        <v>1</v>
      </c>
    </row>
    <row r="1257" spans="1:4" x14ac:dyDescent="0.3">
      <c r="A1257" t="s">
        <v>22</v>
      </c>
      <c r="B1257" t="s">
        <v>99</v>
      </c>
      <c r="C1257">
        <v>99.9</v>
      </c>
      <c r="D1257">
        <v>1</v>
      </c>
    </row>
    <row r="1258" spans="1:4" x14ac:dyDescent="0.3">
      <c r="A1258" t="s">
        <v>59</v>
      </c>
      <c r="B1258" t="s">
        <v>80</v>
      </c>
      <c r="C1258">
        <v>99</v>
      </c>
      <c r="D1258">
        <v>1</v>
      </c>
    </row>
    <row r="1259" spans="1:4" x14ac:dyDescent="0.3">
      <c r="A1259" t="s">
        <v>59</v>
      </c>
      <c r="B1259" t="s">
        <v>85</v>
      </c>
      <c r="C1259">
        <v>99</v>
      </c>
      <c r="D1259">
        <v>1</v>
      </c>
    </row>
    <row r="1260" spans="1:4" x14ac:dyDescent="0.3">
      <c r="A1260" t="s">
        <v>45</v>
      </c>
      <c r="B1260" t="s">
        <v>99</v>
      </c>
      <c r="C1260">
        <v>98.99</v>
      </c>
      <c r="D1260">
        <v>1</v>
      </c>
    </row>
    <row r="1261" spans="1:4" x14ac:dyDescent="0.3">
      <c r="A1261" t="s">
        <v>70</v>
      </c>
      <c r="B1261" t="s">
        <v>81</v>
      </c>
      <c r="C1261">
        <v>97</v>
      </c>
      <c r="D1261">
        <v>2</v>
      </c>
    </row>
    <row r="1262" spans="1:4" x14ac:dyDescent="0.3">
      <c r="A1262" t="s">
        <v>71</v>
      </c>
      <c r="B1262" t="s">
        <v>79</v>
      </c>
      <c r="C1262">
        <v>96.29</v>
      </c>
      <c r="D1262">
        <v>4</v>
      </c>
    </row>
    <row r="1263" spans="1:4" x14ac:dyDescent="0.3">
      <c r="A1263" t="s">
        <v>60</v>
      </c>
      <c r="B1263" t="s">
        <v>86</v>
      </c>
      <c r="C1263">
        <v>94.9</v>
      </c>
      <c r="D1263">
        <v>1</v>
      </c>
    </row>
    <row r="1264" spans="1:4" x14ac:dyDescent="0.3">
      <c r="A1264" t="s">
        <v>16</v>
      </c>
      <c r="B1264" t="s">
        <v>100</v>
      </c>
      <c r="C1264">
        <v>94.89</v>
      </c>
      <c r="D1264">
        <v>2</v>
      </c>
    </row>
    <row r="1265" spans="1:4" x14ac:dyDescent="0.3">
      <c r="A1265" t="s">
        <v>54</v>
      </c>
      <c r="B1265" t="s">
        <v>88</v>
      </c>
      <c r="C1265">
        <v>93</v>
      </c>
      <c r="D1265">
        <v>1</v>
      </c>
    </row>
    <row r="1266" spans="1:4" x14ac:dyDescent="0.3">
      <c r="A1266" t="s">
        <v>55</v>
      </c>
      <c r="B1266" t="s">
        <v>82</v>
      </c>
      <c r="C1266">
        <v>90.7</v>
      </c>
      <c r="D1266">
        <v>3</v>
      </c>
    </row>
    <row r="1267" spans="1:4" x14ac:dyDescent="0.3">
      <c r="A1267" t="s">
        <v>50</v>
      </c>
      <c r="B1267" t="s">
        <v>94</v>
      </c>
      <c r="C1267">
        <v>90</v>
      </c>
      <c r="D1267">
        <v>1</v>
      </c>
    </row>
    <row r="1268" spans="1:4" x14ac:dyDescent="0.3">
      <c r="A1268" t="s">
        <v>73</v>
      </c>
      <c r="B1268" t="s">
        <v>78</v>
      </c>
      <c r="C1268">
        <v>90</v>
      </c>
      <c r="D1268">
        <v>2</v>
      </c>
    </row>
    <row r="1269" spans="1:4" x14ac:dyDescent="0.3">
      <c r="A1269" t="s">
        <v>36</v>
      </c>
      <c r="B1269" t="s">
        <v>91</v>
      </c>
      <c r="C1269">
        <v>90</v>
      </c>
      <c r="D1269">
        <v>1</v>
      </c>
    </row>
    <row r="1270" spans="1:4" x14ac:dyDescent="0.3">
      <c r="A1270" t="s">
        <v>74</v>
      </c>
      <c r="B1270" t="s">
        <v>83</v>
      </c>
      <c r="C1270">
        <v>89.99</v>
      </c>
      <c r="D1270">
        <v>1</v>
      </c>
    </row>
    <row r="1271" spans="1:4" x14ac:dyDescent="0.3">
      <c r="A1271" t="s">
        <v>27</v>
      </c>
      <c r="B1271" t="s">
        <v>101</v>
      </c>
      <c r="C1271">
        <v>89.9</v>
      </c>
      <c r="D1271">
        <v>1</v>
      </c>
    </row>
    <row r="1272" spans="1:4" x14ac:dyDescent="0.3">
      <c r="A1272" t="s">
        <v>43</v>
      </c>
      <c r="B1272" t="s">
        <v>92</v>
      </c>
      <c r="C1272">
        <v>89.9</v>
      </c>
      <c r="D1272">
        <v>1</v>
      </c>
    </row>
    <row r="1273" spans="1:4" x14ac:dyDescent="0.3">
      <c r="A1273" t="s">
        <v>35</v>
      </c>
      <c r="B1273" t="s">
        <v>96</v>
      </c>
      <c r="C1273">
        <v>89.9</v>
      </c>
      <c r="D1273">
        <v>1</v>
      </c>
    </row>
    <row r="1274" spans="1:4" x14ac:dyDescent="0.3">
      <c r="A1274" t="s">
        <v>38</v>
      </c>
      <c r="B1274" t="s">
        <v>100</v>
      </c>
      <c r="C1274">
        <v>89.9</v>
      </c>
      <c r="D1274">
        <v>1</v>
      </c>
    </row>
    <row r="1275" spans="1:4" x14ac:dyDescent="0.3">
      <c r="A1275" t="s">
        <v>35</v>
      </c>
      <c r="B1275" t="s">
        <v>95</v>
      </c>
      <c r="C1275">
        <v>89.9</v>
      </c>
      <c r="D1275">
        <v>1</v>
      </c>
    </row>
    <row r="1276" spans="1:4" x14ac:dyDescent="0.3">
      <c r="A1276" t="s">
        <v>66</v>
      </c>
      <c r="B1276" t="s">
        <v>81</v>
      </c>
      <c r="C1276">
        <v>89.9</v>
      </c>
      <c r="D1276">
        <v>2</v>
      </c>
    </row>
    <row r="1277" spans="1:4" x14ac:dyDescent="0.3">
      <c r="A1277" t="s">
        <v>74</v>
      </c>
      <c r="B1277" t="s">
        <v>82</v>
      </c>
      <c r="C1277">
        <v>89.89</v>
      </c>
      <c r="D1277">
        <v>2</v>
      </c>
    </row>
    <row r="1278" spans="1:4" x14ac:dyDescent="0.3">
      <c r="A1278" t="s">
        <v>56</v>
      </c>
      <c r="B1278" t="s">
        <v>82</v>
      </c>
      <c r="C1278">
        <v>89.89</v>
      </c>
      <c r="D1278">
        <v>2</v>
      </c>
    </row>
    <row r="1279" spans="1:4" x14ac:dyDescent="0.3">
      <c r="A1279" t="s">
        <v>36</v>
      </c>
      <c r="B1279" t="s">
        <v>87</v>
      </c>
      <c r="C1279">
        <v>89.88</v>
      </c>
      <c r="D1279">
        <v>3</v>
      </c>
    </row>
    <row r="1280" spans="1:4" x14ac:dyDescent="0.3">
      <c r="A1280" t="s">
        <v>37</v>
      </c>
      <c r="B1280" t="s">
        <v>100</v>
      </c>
      <c r="C1280">
        <v>89</v>
      </c>
      <c r="D1280">
        <v>1</v>
      </c>
    </row>
    <row r="1281" spans="1:4" x14ac:dyDescent="0.3">
      <c r="A1281" t="s">
        <v>33</v>
      </c>
      <c r="B1281" t="s">
        <v>99</v>
      </c>
      <c r="C1281">
        <v>88</v>
      </c>
      <c r="D1281">
        <v>1</v>
      </c>
    </row>
    <row r="1282" spans="1:4" x14ac:dyDescent="0.3">
      <c r="A1282" t="s">
        <v>41</v>
      </c>
      <c r="B1282" t="s">
        <v>100</v>
      </c>
      <c r="C1282">
        <v>87</v>
      </c>
      <c r="D1282">
        <v>1</v>
      </c>
    </row>
    <row r="1283" spans="1:4" x14ac:dyDescent="0.3">
      <c r="A1283" t="s">
        <v>35</v>
      </c>
      <c r="B1283" t="s">
        <v>92</v>
      </c>
      <c r="C1283">
        <v>86.9</v>
      </c>
      <c r="D1283">
        <v>1</v>
      </c>
    </row>
    <row r="1284" spans="1:4" x14ac:dyDescent="0.3">
      <c r="A1284" t="s">
        <v>35</v>
      </c>
      <c r="B1284" t="s">
        <v>93</v>
      </c>
      <c r="C1284">
        <v>86.9</v>
      </c>
      <c r="D1284">
        <v>1</v>
      </c>
    </row>
    <row r="1285" spans="1:4" x14ac:dyDescent="0.3">
      <c r="A1285" t="s">
        <v>26</v>
      </c>
      <c r="B1285" t="s">
        <v>102</v>
      </c>
      <c r="C1285">
        <v>85.95</v>
      </c>
      <c r="D1285">
        <v>1</v>
      </c>
    </row>
    <row r="1286" spans="1:4" x14ac:dyDescent="0.3">
      <c r="A1286" t="s">
        <v>65</v>
      </c>
      <c r="B1286" t="s">
        <v>85</v>
      </c>
      <c r="C1286">
        <v>85</v>
      </c>
      <c r="D1286">
        <v>1</v>
      </c>
    </row>
    <row r="1287" spans="1:4" x14ac:dyDescent="0.3">
      <c r="A1287" t="s">
        <v>32</v>
      </c>
      <c r="B1287" t="s">
        <v>97</v>
      </c>
      <c r="C1287">
        <v>80</v>
      </c>
      <c r="D1287">
        <v>1</v>
      </c>
    </row>
    <row r="1288" spans="1:4" x14ac:dyDescent="0.3">
      <c r="A1288" t="s">
        <v>48</v>
      </c>
      <c r="B1288" t="s">
        <v>95</v>
      </c>
      <c r="C1288">
        <v>79.989999999999995</v>
      </c>
      <c r="D1288">
        <v>1</v>
      </c>
    </row>
    <row r="1289" spans="1:4" x14ac:dyDescent="0.3">
      <c r="A1289" t="s">
        <v>34</v>
      </c>
      <c r="B1289" t="s">
        <v>101</v>
      </c>
      <c r="C1289">
        <v>79.900000000000006</v>
      </c>
      <c r="D1289">
        <v>1</v>
      </c>
    </row>
    <row r="1290" spans="1:4" x14ac:dyDescent="0.3">
      <c r="A1290" t="s">
        <v>58</v>
      </c>
      <c r="B1290" t="s">
        <v>90</v>
      </c>
      <c r="C1290">
        <v>79.900000000000006</v>
      </c>
      <c r="D1290">
        <v>1</v>
      </c>
    </row>
    <row r="1291" spans="1:4" x14ac:dyDescent="0.3">
      <c r="A1291" t="s">
        <v>43</v>
      </c>
      <c r="B1291" t="s">
        <v>99</v>
      </c>
      <c r="C1291">
        <v>79.900000000000006</v>
      </c>
      <c r="D1291">
        <v>1</v>
      </c>
    </row>
    <row r="1292" spans="1:4" x14ac:dyDescent="0.3">
      <c r="A1292" t="s">
        <v>31</v>
      </c>
      <c r="B1292" t="s">
        <v>98</v>
      </c>
      <c r="C1292">
        <v>79.900000000000006</v>
      </c>
      <c r="D1292">
        <v>1</v>
      </c>
    </row>
    <row r="1293" spans="1:4" x14ac:dyDescent="0.3">
      <c r="A1293" t="s">
        <v>57</v>
      </c>
      <c r="B1293" t="s">
        <v>90</v>
      </c>
      <c r="C1293">
        <v>79.900000000000006</v>
      </c>
      <c r="D1293">
        <v>1</v>
      </c>
    </row>
    <row r="1294" spans="1:4" x14ac:dyDescent="0.3">
      <c r="A1294" t="s">
        <v>38</v>
      </c>
      <c r="B1294" t="s">
        <v>93</v>
      </c>
      <c r="C1294">
        <v>79</v>
      </c>
      <c r="D1294">
        <v>1</v>
      </c>
    </row>
    <row r="1295" spans="1:4" x14ac:dyDescent="0.3">
      <c r="A1295" t="s">
        <v>44</v>
      </c>
      <c r="B1295" t="s">
        <v>97</v>
      </c>
      <c r="C1295">
        <v>77.900000000000006</v>
      </c>
      <c r="D1295">
        <v>1</v>
      </c>
    </row>
    <row r="1296" spans="1:4" x14ac:dyDescent="0.3">
      <c r="A1296" t="s">
        <v>71</v>
      </c>
      <c r="B1296" t="s">
        <v>86</v>
      </c>
      <c r="C1296">
        <v>77.89</v>
      </c>
      <c r="D1296">
        <v>2</v>
      </c>
    </row>
    <row r="1297" spans="1:4" x14ac:dyDescent="0.3">
      <c r="A1297" t="s">
        <v>51</v>
      </c>
      <c r="B1297" t="s">
        <v>87</v>
      </c>
      <c r="C1297">
        <v>77.8</v>
      </c>
      <c r="D1297">
        <v>1</v>
      </c>
    </row>
    <row r="1298" spans="1:4" x14ac:dyDescent="0.3">
      <c r="A1298" t="s">
        <v>62</v>
      </c>
      <c r="B1298" t="s">
        <v>83</v>
      </c>
      <c r="C1298">
        <v>77</v>
      </c>
      <c r="D1298">
        <v>1</v>
      </c>
    </row>
    <row r="1299" spans="1:4" x14ac:dyDescent="0.3">
      <c r="A1299" t="s">
        <v>71</v>
      </c>
      <c r="B1299" t="s">
        <v>80</v>
      </c>
      <c r="C1299">
        <v>75.599999999999994</v>
      </c>
      <c r="D1299">
        <v>3</v>
      </c>
    </row>
    <row r="1300" spans="1:4" x14ac:dyDescent="0.3">
      <c r="A1300" t="s">
        <v>51</v>
      </c>
      <c r="B1300" t="s">
        <v>95</v>
      </c>
      <c r="C1300">
        <v>75</v>
      </c>
      <c r="D1300">
        <v>1</v>
      </c>
    </row>
    <row r="1301" spans="1:4" x14ac:dyDescent="0.3">
      <c r="A1301" t="s">
        <v>36</v>
      </c>
      <c r="B1301" t="s">
        <v>84</v>
      </c>
      <c r="C1301">
        <v>72.98</v>
      </c>
      <c r="D1301">
        <v>3</v>
      </c>
    </row>
    <row r="1302" spans="1:4" x14ac:dyDescent="0.3">
      <c r="A1302" t="s">
        <v>48</v>
      </c>
      <c r="B1302" t="s">
        <v>90</v>
      </c>
      <c r="C1302">
        <v>69.989999999999995</v>
      </c>
      <c r="D1302">
        <v>1</v>
      </c>
    </row>
    <row r="1303" spans="1:4" x14ac:dyDescent="0.3">
      <c r="A1303" t="s">
        <v>36</v>
      </c>
      <c r="B1303" t="s">
        <v>97</v>
      </c>
      <c r="C1303">
        <v>69.98</v>
      </c>
      <c r="D1303">
        <v>1</v>
      </c>
    </row>
    <row r="1304" spans="1:4" x14ac:dyDescent="0.3">
      <c r="A1304" t="s">
        <v>45</v>
      </c>
      <c r="B1304" t="s">
        <v>95</v>
      </c>
      <c r="C1304">
        <v>69.900000000000006</v>
      </c>
      <c r="D1304">
        <v>2</v>
      </c>
    </row>
    <row r="1305" spans="1:4" x14ac:dyDescent="0.3">
      <c r="A1305" t="s">
        <v>58</v>
      </c>
      <c r="B1305" t="s">
        <v>101</v>
      </c>
      <c r="C1305">
        <v>69.900000000000006</v>
      </c>
      <c r="D1305">
        <v>1</v>
      </c>
    </row>
    <row r="1306" spans="1:4" x14ac:dyDescent="0.3">
      <c r="A1306" t="s">
        <v>43</v>
      </c>
      <c r="B1306" t="s">
        <v>98</v>
      </c>
      <c r="C1306">
        <v>69</v>
      </c>
      <c r="D1306">
        <v>1</v>
      </c>
    </row>
    <row r="1307" spans="1:4" x14ac:dyDescent="0.3">
      <c r="A1307" t="s">
        <v>24</v>
      </c>
      <c r="B1307" t="s">
        <v>101</v>
      </c>
      <c r="C1307">
        <v>66.900000000000006</v>
      </c>
      <c r="D1307">
        <v>2</v>
      </c>
    </row>
    <row r="1308" spans="1:4" x14ac:dyDescent="0.3">
      <c r="A1308" t="s">
        <v>53</v>
      </c>
      <c r="B1308" t="s">
        <v>95</v>
      </c>
      <c r="C1308">
        <v>65</v>
      </c>
      <c r="D1308">
        <v>1</v>
      </c>
    </row>
    <row r="1309" spans="1:4" x14ac:dyDescent="0.3">
      <c r="A1309" t="s">
        <v>73</v>
      </c>
      <c r="B1309" t="s">
        <v>91</v>
      </c>
      <c r="C1309">
        <v>65</v>
      </c>
      <c r="D1309">
        <v>1</v>
      </c>
    </row>
    <row r="1310" spans="1:4" x14ac:dyDescent="0.3">
      <c r="A1310" t="s">
        <v>66</v>
      </c>
      <c r="B1310" t="s">
        <v>83</v>
      </c>
      <c r="C1310">
        <v>64.900000000000006</v>
      </c>
      <c r="D1310">
        <v>1</v>
      </c>
    </row>
    <row r="1311" spans="1:4" x14ac:dyDescent="0.3">
      <c r="A1311" t="s">
        <v>55</v>
      </c>
      <c r="B1311" t="s">
        <v>89</v>
      </c>
      <c r="C1311">
        <v>64.599999999999994</v>
      </c>
      <c r="D1311">
        <v>1</v>
      </c>
    </row>
    <row r="1312" spans="1:4" x14ac:dyDescent="0.3">
      <c r="A1312" t="s">
        <v>72</v>
      </c>
      <c r="B1312" t="s">
        <v>85</v>
      </c>
      <c r="C1312">
        <v>64.5</v>
      </c>
      <c r="D1312">
        <v>4</v>
      </c>
    </row>
    <row r="1313" spans="1:4" x14ac:dyDescent="0.3">
      <c r="A1313" t="s">
        <v>46</v>
      </c>
      <c r="B1313" t="s">
        <v>101</v>
      </c>
      <c r="C1313">
        <v>62.8</v>
      </c>
      <c r="D1313">
        <v>1</v>
      </c>
    </row>
    <row r="1314" spans="1:4" x14ac:dyDescent="0.3">
      <c r="A1314" t="s">
        <v>46</v>
      </c>
      <c r="B1314" t="s">
        <v>98</v>
      </c>
      <c r="C1314">
        <v>62.8</v>
      </c>
      <c r="D1314">
        <v>1</v>
      </c>
    </row>
    <row r="1315" spans="1:4" x14ac:dyDescent="0.3">
      <c r="A1315" t="s">
        <v>64</v>
      </c>
      <c r="B1315" t="s">
        <v>86</v>
      </c>
      <c r="C1315">
        <v>62.5</v>
      </c>
      <c r="D1315">
        <v>2</v>
      </c>
    </row>
    <row r="1316" spans="1:4" x14ac:dyDescent="0.3">
      <c r="A1316" t="s">
        <v>41</v>
      </c>
      <c r="B1316" t="s">
        <v>96</v>
      </c>
      <c r="C1316">
        <v>61</v>
      </c>
      <c r="D1316">
        <v>1</v>
      </c>
    </row>
    <row r="1317" spans="1:4" x14ac:dyDescent="0.3">
      <c r="A1317" t="s">
        <v>70</v>
      </c>
      <c r="B1317" t="s">
        <v>88</v>
      </c>
      <c r="C1317">
        <v>60</v>
      </c>
      <c r="D1317">
        <v>1</v>
      </c>
    </row>
    <row r="1318" spans="1:4" x14ac:dyDescent="0.3">
      <c r="A1318" t="s">
        <v>56</v>
      </c>
      <c r="B1318" t="s">
        <v>91</v>
      </c>
      <c r="C1318">
        <v>59.9</v>
      </c>
      <c r="D1318">
        <v>1</v>
      </c>
    </row>
    <row r="1319" spans="1:4" x14ac:dyDescent="0.3">
      <c r="A1319" t="s">
        <v>62</v>
      </c>
      <c r="B1319" t="s">
        <v>97</v>
      </c>
      <c r="C1319">
        <v>59.89</v>
      </c>
      <c r="D1319">
        <v>1</v>
      </c>
    </row>
    <row r="1320" spans="1:4" x14ac:dyDescent="0.3">
      <c r="A1320" t="s">
        <v>21</v>
      </c>
      <c r="B1320" t="s">
        <v>102</v>
      </c>
      <c r="C1320">
        <v>59.8</v>
      </c>
      <c r="D1320">
        <v>1</v>
      </c>
    </row>
    <row r="1321" spans="1:4" x14ac:dyDescent="0.3">
      <c r="A1321" t="s">
        <v>25</v>
      </c>
      <c r="B1321" t="s">
        <v>100</v>
      </c>
      <c r="C1321">
        <v>58.95</v>
      </c>
      <c r="D1321">
        <v>4</v>
      </c>
    </row>
    <row r="1322" spans="1:4" x14ac:dyDescent="0.3">
      <c r="A1322" t="s">
        <v>48</v>
      </c>
      <c r="B1322" t="s">
        <v>100</v>
      </c>
      <c r="C1322">
        <v>58.35</v>
      </c>
      <c r="D1322">
        <v>1</v>
      </c>
    </row>
    <row r="1323" spans="1:4" x14ac:dyDescent="0.3">
      <c r="A1323" t="s">
        <v>22</v>
      </c>
      <c r="B1323" t="s">
        <v>101</v>
      </c>
      <c r="C1323">
        <v>54</v>
      </c>
      <c r="D1323">
        <v>1</v>
      </c>
    </row>
    <row r="1324" spans="1:4" x14ac:dyDescent="0.3">
      <c r="A1324" t="s">
        <v>72</v>
      </c>
      <c r="B1324" t="s">
        <v>78</v>
      </c>
      <c r="C1324">
        <v>51.6</v>
      </c>
      <c r="D1324">
        <v>2</v>
      </c>
    </row>
    <row r="1325" spans="1:4" x14ac:dyDescent="0.3">
      <c r="A1325" t="s">
        <v>59</v>
      </c>
      <c r="B1325" t="s">
        <v>90</v>
      </c>
      <c r="C1325">
        <v>50.8</v>
      </c>
      <c r="D1325">
        <v>2</v>
      </c>
    </row>
    <row r="1326" spans="1:4" x14ac:dyDescent="0.3">
      <c r="A1326" t="s">
        <v>61</v>
      </c>
      <c r="B1326" t="s">
        <v>84</v>
      </c>
      <c r="C1326">
        <v>50.35</v>
      </c>
      <c r="D1326">
        <v>1</v>
      </c>
    </row>
    <row r="1327" spans="1:4" x14ac:dyDescent="0.3">
      <c r="A1327" t="s">
        <v>59</v>
      </c>
      <c r="B1327" t="s">
        <v>100</v>
      </c>
      <c r="C1327">
        <v>50</v>
      </c>
      <c r="D1327">
        <v>1</v>
      </c>
    </row>
    <row r="1328" spans="1:4" x14ac:dyDescent="0.3">
      <c r="A1328" t="s">
        <v>28</v>
      </c>
      <c r="B1328" t="s">
        <v>91</v>
      </c>
      <c r="C1328">
        <v>49.99</v>
      </c>
      <c r="D1328">
        <v>1</v>
      </c>
    </row>
    <row r="1329" spans="1:4" x14ac:dyDescent="0.3">
      <c r="A1329" t="s">
        <v>67</v>
      </c>
      <c r="B1329" t="s">
        <v>80</v>
      </c>
      <c r="C1329">
        <v>49.98</v>
      </c>
      <c r="D1329">
        <v>2</v>
      </c>
    </row>
    <row r="1330" spans="1:4" x14ac:dyDescent="0.3">
      <c r="A1330" t="s">
        <v>48</v>
      </c>
      <c r="B1330" t="s">
        <v>86</v>
      </c>
      <c r="C1330">
        <v>49.9</v>
      </c>
      <c r="D1330">
        <v>1</v>
      </c>
    </row>
    <row r="1331" spans="1:4" x14ac:dyDescent="0.3">
      <c r="A1331" t="s">
        <v>67</v>
      </c>
      <c r="B1331" t="s">
        <v>81</v>
      </c>
      <c r="C1331">
        <v>49.9</v>
      </c>
      <c r="D1331">
        <v>1</v>
      </c>
    </row>
    <row r="1332" spans="1:4" x14ac:dyDescent="0.3">
      <c r="A1332" t="s">
        <v>60</v>
      </c>
      <c r="B1332" t="s">
        <v>91</v>
      </c>
      <c r="C1332">
        <v>49.8</v>
      </c>
      <c r="D1332">
        <v>1</v>
      </c>
    </row>
    <row r="1333" spans="1:4" x14ac:dyDescent="0.3">
      <c r="A1333" t="s">
        <v>60</v>
      </c>
      <c r="B1333" t="s">
        <v>87</v>
      </c>
      <c r="C1333">
        <v>49.8</v>
      </c>
      <c r="D1333">
        <v>1</v>
      </c>
    </row>
    <row r="1334" spans="1:4" x14ac:dyDescent="0.3">
      <c r="A1334" t="s">
        <v>40</v>
      </c>
      <c r="B1334" t="s">
        <v>89</v>
      </c>
      <c r="C1334">
        <v>48.9</v>
      </c>
      <c r="D1334">
        <v>1</v>
      </c>
    </row>
    <row r="1335" spans="1:4" x14ac:dyDescent="0.3">
      <c r="A1335" t="s">
        <v>40</v>
      </c>
      <c r="B1335" t="s">
        <v>86</v>
      </c>
      <c r="C1335">
        <v>48</v>
      </c>
      <c r="D1335">
        <v>1</v>
      </c>
    </row>
    <row r="1336" spans="1:4" x14ac:dyDescent="0.3">
      <c r="A1336" t="s">
        <v>50</v>
      </c>
      <c r="B1336" t="s">
        <v>100</v>
      </c>
      <c r="C1336">
        <v>47.49</v>
      </c>
      <c r="D1336">
        <v>1</v>
      </c>
    </row>
    <row r="1337" spans="1:4" x14ac:dyDescent="0.3">
      <c r="A1337" t="s">
        <v>70</v>
      </c>
      <c r="B1337" t="s">
        <v>93</v>
      </c>
      <c r="C1337">
        <v>47</v>
      </c>
      <c r="D1337">
        <v>1</v>
      </c>
    </row>
    <row r="1338" spans="1:4" x14ac:dyDescent="0.3">
      <c r="A1338" t="s">
        <v>41</v>
      </c>
      <c r="B1338" t="s">
        <v>99</v>
      </c>
      <c r="C1338">
        <v>44.99</v>
      </c>
      <c r="D1338">
        <v>1</v>
      </c>
    </row>
    <row r="1339" spans="1:4" x14ac:dyDescent="0.3">
      <c r="A1339" t="s">
        <v>63</v>
      </c>
      <c r="B1339" t="s">
        <v>82</v>
      </c>
      <c r="C1339">
        <v>44.8</v>
      </c>
      <c r="D1339">
        <v>2</v>
      </c>
    </row>
    <row r="1340" spans="1:4" x14ac:dyDescent="0.3">
      <c r="A1340" t="s">
        <v>41</v>
      </c>
      <c r="B1340" t="s">
        <v>90</v>
      </c>
      <c r="C1340">
        <v>44.5</v>
      </c>
      <c r="D1340">
        <v>2</v>
      </c>
    </row>
    <row r="1341" spans="1:4" x14ac:dyDescent="0.3">
      <c r="A1341" t="s">
        <v>55</v>
      </c>
      <c r="B1341" t="s">
        <v>96</v>
      </c>
      <c r="C1341">
        <v>44.06</v>
      </c>
      <c r="D1341">
        <v>1</v>
      </c>
    </row>
    <row r="1342" spans="1:4" x14ac:dyDescent="0.3">
      <c r="A1342" t="s">
        <v>64</v>
      </c>
      <c r="B1342" t="s">
        <v>85</v>
      </c>
      <c r="C1342">
        <v>43.8</v>
      </c>
      <c r="D1342">
        <v>1</v>
      </c>
    </row>
    <row r="1343" spans="1:4" x14ac:dyDescent="0.3">
      <c r="A1343" t="s">
        <v>70</v>
      </c>
      <c r="B1343" t="s">
        <v>79</v>
      </c>
      <c r="C1343">
        <v>43</v>
      </c>
      <c r="D1343">
        <v>1</v>
      </c>
    </row>
    <row r="1344" spans="1:4" x14ac:dyDescent="0.3">
      <c r="A1344" t="s">
        <v>19</v>
      </c>
      <c r="B1344" t="s">
        <v>103</v>
      </c>
      <c r="C1344">
        <v>39.99</v>
      </c>
      <c r="D1344">
        <v>1</v>
      </c>
    </row>
    <row r="1345" spans="1:4" x14ac:dyDescent="0.3">
      <c r="A1345" t="s">
        <v>23</v>
      </c>
      <c r="B1345" t="s">
        <v>99</v>
      </c>
      <c r="C1345">
        <v>39.9</v>
      </c>
      <c r="D1345">
        <v>1</v>
      </c>
    </row>
    <row r="1346" spans="1:4" x14ac:dyDescent="0.3">
      <c r="A1346" t="s">
        <v>72</v>
      </c>
      <c r="B1346" t="s">
        <v>79</v>
      </c>
      <c r="C1346">
        <v>38.700000000000003</v>
      </c>
      <c r="D1346">
        <v>3</v>
      </c>
    </row>
    <row r="1347" spans="1:4" x14ac:dyDescent="0.3">
      <c r="A1347" t="s">
        <v>70</v>
      </c>
      <c r="B1347" t="s">
        <v>83</v>
      </c>
      <c r="C1347">
        <v>38</v>
      </c>
      <c r="D1347">
        <v>1</v>
      </c>
    </row>
    <row r="1348" spans="1:4" x14ac:dyDescent="0.3">
      <c r="A1348" t="s">
        <v>23</v>
      </c>
      <c r="B1348" t="s">
        <v>98</v>
      </c>
      <c r="C1348">
        <v>36.9</v>
      </c>
      <c r="D1348">
        <v>1</v>
      </c>
    </row>
    <row r="1349" spans="1:4" x14ac:dyDescent="0.3">
      <c r="A1349" t="s">
        <v>23</v>
      </c>
      <c r="B1349" t="s">
        <v>101</v>
      </c>
      <c r="C1349">
        <v>36.9</v>
      </c>
      <c r="D1349">
        <v>1</v>
      </c>
    </row>
    <row r="1350" spans="1:4" x14ac:dyDescent="0.3">
      <c r="A1350" t="s">
        <v>37</v>
      </c>
      <c r="B1350" t="s">
        <v>93</v>
      </c>
      <c r="C1350">
        <v>35.9</v>
      </c>
      <c r="D1350">
        <v>1</v>
      </c>
    </row>
    <row r="1351" spans="1:4" x14ac:dyDescent="0.3">
      <c r="A1351" t="s">
        <v>58</v>
      </c>
      <c r="B1351" t="s">
        <v>92</v>
      </c>
      <c r="C1351">
        <v>35.6</v>
      </c>
      <c r="D1351">
        <v>1</v>
      </c>
    </row>
    <row r="1352" spans="1:4" x14ac:dyDescent="0.3">
      <c r="A1352" t="s">
        <v>66</v>
      </c>
      <c r="B1352" t="s">
        <v>90</v>
      </c>
      <c r="C1352">
        <v>34.99</v>
      </c>
      <c r="D1352">
        <v>1</v>
      </c>
    </row>
    <row r="1353" spans="1:4" x14ac:dyDescent="0.3">
      <c r="A1353" t="s">
        <v>63</v>
      </c>
      <c r="B1353" t="s">
        <v>87</v>
      </c>
      <c r="C1353">
        <v>34.799999999999997</v>
      </c>
      <c r="D1353">
        <v>2</v>
      </c>
    </row>
    <row r="1354" spans="1:4" x14ac:dyDescent="0.3">
      <c r="A1354" t="s">
        <v>36</v>
      </c>
      <c r="B1354" t="s">
        <v>92</v>
      </c>
      <c r="C1354">
        <v>32.99</v>
      </c>
      <c r="D1354">
        <v>1</v>
      </c>
    </row>
    <row r="1355" spans="1:4" x14ac:dyDescent="0.3">
      <c r="A1355" t="s">
        <v>41</v>
      </c>
      <c r="B1355" t="s">
        <v>98</v>
      </c>
      <c r="C1355">
        <v>32.9</v>
      </c>
      <c r="D1355">
        <v>1</v>
      </c>
    </row>
    <row r="1356" spans="1:4" x14ac:dyDescent="0.3">
      <c r="A1356" t="s">
        <v>71</v>
      </c>
      <c r="B1356" t="s">
        <v>92</v>
      </c>
      <c r="C1356">
        <v>31.2</v>
      </c>
      <c r="D1356">
        <v>1</v>
      </c>
    </row>
    <row r="1357" spans="1:4" x14ac:dyDescent="0.3">
      <c r="A1357" t="s">
        <v>56</v>
      </c>
      <c r="B1357" t="s">
        <v>88</v>
      </c>
      <c r="C1357">
        <v>29.99</v>
      </c>
      <c r="D1357">
        <v>1</v>
      </c>
    </row>
    <row r="1358" spans="1:4" x14ac:dyDescent="0.3">
      <c r="A1358" t="s">
        <v>59</v>
      </c>
      <c r="B1358" t="s">
        <v>88</v>
      </c>
      <c r="C1358">
        <v>29.99</v>
      </c>
      <c r="D1358">
        <v>1</v>
      </c>
    </row>
    <row r="1359" spans="1:4" x14ac:dyDescent="0.3">
      <c r="A1359" t="s">
        <v>42</v>
      </c>
      <c r="B1359" t="s">
        <v>89</v>
      </c>
      <c r="C1359">
        <v>29</v>
      </c>
      <c r="D1359">
        <v>1</v>
      </c>
    </row>
    <row r="1360" spans="1:4" x14ac:dyDescent="0.3">
      <c r="A1360" t="s">
        <v>49</v>
      </c>
      <c r="B1360" t="s">
        <v>91</v>
      </c>
      <c r="C1360">
        <v>27.9</v>
      </c>
      <c r="D1360">
        <v>1</v>
      </c>
    </row>
    <row r="1361" spans="1:4" x14ac:dyDescent="0.3">
      <c r="A1361" t="s">
        <v>25</v>
      </c>
      <c r="B1361" t="s">
        <v>103</v>
      </c>
      <c r="C1361">
        <v>27.3</v>
      </c>
      <c r="D1361">
        <v>2</v>
      </c>
    </row>
    <row r="1362" spans="1:4" x14ac:dyDescent="0.3">
      <c r="A1362" t="s">
        <v>54</v>
      </c>
      <c r="B1362" t="s">
        <v>89</v>
      </c>
      <c r="C1362">
        <v>27</v>
      </c>
      <c r="D1362">
        <v>1</v>
      </c>
    </row>
    <row r="1363" spans="1:4" x14ac:dyDescent="0.3">
      <c r="A1363" t="s">
        <v>63</v>
      </c>
      <c r="B1363" t="s">
        <v>94</v>
      </c>
      <c r="C1363">
        <v>25</v>
      </c>
      <c r="D1363">
        <v>1</v>
      </c>
    </row>
    <row r="1364" spans="1:4" x14ac:dyDescent="0.3">
      <c r="A1364" t="s">
        <v>71</v>
      </c>
      <c r="B1364" t="s">
        <v>85</v>
      </c>
      <c r="C1364">
        <v>24.99</v>
      </c>
      <c r="D1364">
        <v>1</v>
      </c>
    </row>
    <row r="1365" spans="1:4" x14ac:dyDescent="0.3">
      <c r="A1365" t="s">
        <v>67</v>
      </c>
      <c r="B1365" t="s">
        <v>84</v>
      </c>
      <c r="C1365">
        <v>24.99</v>
      </c>
      <c r="D1365">
        <v>1</v>
      </c>
    </row>
    <row r="1366" spans="1:4" x14ac:dyDescent="0.3">
      <c r="A1366" t="s">
        <v>62</v>
      </c>
      <c r="B1366" t="s">
        <v>82</v>
      </c>
      <c r="C1366">
        <v>24.95</v>
      </c>
      <c r="D1366">
        <v>1</v>
      </c>
    </row>
    <row r="1367" spans="1:4" x14ac:dyDescent="0.3">
      <c r="A1367" t="s">
        <v>63</v>
      </c>
      <c r="B1367" t="s">
        <v>99</v>
      </c>
      <c r="C1367">
        <v>24.9</v>
      </c>
      <c r="D1367">
        <v>1</v>
      </c>
    </row>
    <row r="1368" spans="1:4" x14ac:dyDescent="0.3">
      <c r="A1368" t="s">
        <v>63</v>
      </c>
      <c r="B1368" t="s">
        <v>96</v>
      </c>
      <c r="C1368">
        <v>24.9</v>
      </c>
      <c r="D1368">
        <v>1</v>
      </c>
    </row>
    <row r="1369" spans="1:4" x14ac:dyDescent="0.3">
      <c r="A1369" t="s">
        <v>36</v>
      </c>
      <c r="B1369" t="s">
        <v>100</v>
      </c>
      <c r="C1369">
        <v>19.989999999999998</v>
      </c>
      <c r="D1369">
        <v>1</v>
      </c>
    </row>
    <row r="1370" spans="1:4" x14ac:dyDescent="0.3">
      <c r="A1370" t="s">
        <v>26</v>
      </c>
      <c r="B1370" t="s">
        <v>99</v>
      </c>
      <c r="C1370">
        <v>19.899999999999999</v>
      </c>
      <c r="D1370">
        <v>1</v>
      </c>
    </row>
    <row r="1371" spans="1:4" x14ac:dyDescent="0.3">
      <c r="A1371" t="s">
        <v>66</v>
      </c>
      <c r="B1371" t="s">
        <v>82</v>
      </c>
      <c r="C1371">
        <v>19.899999999999999</v>
      </c>
      <c r="D1371">
        <v>1</v>
      </c>
    </row>
    <row r="1372" spans="1:4" x14ac:dyDescent="0.3">
      <c r="A1372" t="s">
        <v>63</v>
      </c>
      <c r="B1372" t="s">
        <v>85</v>
      </c>
      <c r="C1372">
        <v>19.899999999999999</v>
      </c>
      <c r="D1372">
        <v>1</v>
      </c>
    </row>
    <row r="1373" spans="1:4" x14ac:dyDescent="0.3">
      <c r="A1373" t="s">
        <v>58</v>
      </c>
      <c r="B1373" t="s">
        <v>95</v>
      </c>
      <c r="C1373">
        <v>19.829999999999998</v>
      </c>
      <c r="D1373">
        <v>1</v>
      </c>
    </row>
    <row r="1374" spans="1:4" x14ac:dyDescent="0.3">
      <c r="A1374" t="s">
        <v>50</v>
      </c>
      <c r="B1374" t="s">
        <v>90</v>
      </c>
      <c r="C1374">
        <v>19.489999999999998</v>
      </c>
      <c r="D1374">
        <v>1</v>
      </c>
    </row>
    <row r="1375" spans="1:4" x14ac:dyDescent="0.3">
      <c r="A1375" t="s">
        <v>55</v>
      </c>
      <c r="B1375" t="s">
        <v>92</v>
      </c>
      <c r="C1375">
        <v>18.600000000000001</v>
      </c>
      <c r="D1375">
        <v>1</v>
      </c>
    </row>
    <row r="1376" spans="1:4" x14ac:dyDescent="0.3">
      <c r="A1376" t="s">
        <v>45</v>
      </c>
      <c r="B1376" t="s">
        <v>97</v>
      </c>
      <c r="C1376">
        <v>18.45</v>
      </c>
      <c r="D1376">
        <v>1</v>
      </c>
    </row>
    <row r="1377" spans="1:4" x14ac:dyDescent="0.3">
      <c r="A1377" t="s">
        <v>63</v>
      </c>
      <c r="B1377" t="s">
        <v>95</v>
      </c>
      <c r="C1377">
        <v>16.899999999999999</v>
      </c>
      <c r="D1377">
        <v>1</v>
      </c>
    </row>
    <row r="1378" spans="1:4" x14ac:dyDescent="0.3">
      <c r="A1378" t="s">
        <v>61</v>
      </c>
      <c r="B1378" t="s">
        <v>100</v>
      </c>
      <c r="C1378">
        <v>16.100000000000001</v>
      </c>
      <c r="D1378">
        <v>1</v>
      </c>
    </row>
    <row r="1379" spans="1:4" x14ac:dyDescent="0.3">
      <c r="A1379" t="s">
        <v>50</v>
      </c>
      <c r="B1379" t="s">
        <v>96</v>
      </c>
      <c r="C1379">
        <v>15.49</v>
      </c>
      <c r="D1379">
        <v>1</v>
      </c>
    </row>
    <row r="1380" spans="1:4" x14ac:dyDescent="0.3">
      <c r="A1380" t="s">
        <v>72</v>
      </c>
      <c r="B1380" t="s">
        <v>83</v>
      </c>
      <c r="C1380">
        <v>12.9</v>
      </c>
      <c r="D1380">
        <v>1</v>
      </c>
    </row>
    <row r="1381" spans="1:4" x14ac:dyDescent="0.3">
      <c r="A1381" t="s">
        <v>72</v>
      </c>
      <c r="B1381" t="s">
        <v>81</v>
      </c>
      <c r="C1381">
        <v>12.9</v>
      </c>
      <c r="D1381">
        <v>1</v>
      </c>
    </row>
    <row r="1382" spans="1:4" x14ac:dyDescent="0.3">
      <c r="A1382" t="s">
        <v>72</v>
      </c>
      <c r="B1382" t="s">
        <v>86</v>
      </c>
      <c r="C1382">
        <v>12.9</v>
      </c>
      <c r="D1382">
        <v>1</v>
      </c>
    </row>
    <row r="1383" spans="1:4" x14ac:dyDescent="0.3">
      <c r="A1383" t="s">
        <v>54</v>
      </c>
      <c r="B1383" t="s">
        <v>92</v>
      </c>
      <c r="C1383">
        <v>6.8</v>
      </c>
      <c r="D1383">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9C8C-0137-4372-976C-EA274C28DF7E}">
  <dimension ref="A1:J30"/>
  <sheetViews>
    <sheetView topLeftCell="A14" zoomScale="101" workbookViewId="0">
      <selection activeCell="J15" sqref="J15"/>
    </sheetView>
  </sheetViews>
  <sheetFormatPr defaultRowHeight="14.4" x14ac:dyDescent="0.3"/>
  <cols>
    <col min="1" max="1" width="15.33203125" bestFit="1" customWidth="1"/>
    <col min="2" max="2" width="12.21875" bestFit="1" customWidth="1"/>
    <col min="3" max="3" width="13.109375" bestFit="1" customWidth="1"/>
    <col min="6" max="7" width="15.5546875" bestFit="1" customWidth="1"/>
    <col min="10" max="10" width="12" bestFit="1" customWidth="1"/>
    <col min="11" max="11" width="19.6640625" bestFit="1" customWidth="1"/>
    <col min="12" max="12" width="5.44140625" bestFit="1" customWidth="1"/>
    <col min="13" max="13" width="11.33203125" bestFit="1" customWidth="1"/>
    <col min="14" max="14" width="19.6640625" bestFit="1" customWidth="1"/>
    <col min="15" max="15" width="16.109375" bestFit="1" customWidth="1"/>
    <col min="16" max="17" width="12" bestFit="1" customWidth="1"/>
    <col min="18" max="18" width="13.109375" bestFit="1" customWidth="1"/>
    <col min="19" max="37" width="16.109375" bestFit="1" customWidth="1"/>
    <col min="38" max="38" width="10.77734375" bestFit="1" customWidth="1"/>
  </cols>
  <sheetData>
    <row r="1" spans="1:10" x14ac:dyDescent="0.3">
      <c r="A1" s="4" t="s">
        <v>109</v>
      </c>
      <c r="B1" s="3" t="s">
        <v>107</v>
      </c>
      <c r="C1" t="s">
        <v>3</v>
      </c>
      <c r="F1" s="1" t="s">
        <v>117</v>
      </c>
      <c r="G1" t="s">
        <v>134</v>
      </c>
    </row>
    <row r="2" spans="1:10" x14ac:dyDescent="0.3">
      <c r="A2" s="4">
        <v>42614</v>
      </c>
      <c r="B2" s="3">
        <v>207.86</v>
      </c>
      <c r="C2">
        <v>2</v>
      </c>
      <c r="F2" s="2" t="s">
        <v>133</v>
      </c>
      <c r="G2" s="12"/>
    </row>
    <row r="3" spans="1:10" x14ac:dyDescent="0.3">
      <c r="A3" s="4">
        <v>42644</v>
      </c>
      <c r="B3" s="3">
        <v>44507.3</v>
      </c>
      <c r="C3">
        <v>290</v>
      </c>
      <c r="F3" s="8" t="s">
        <v>133</v>
      </c>
      <c r="G3" s="12"/>
    </row>
    <row r="4" spans="1:10" x14ac:dyDescent="0.3">
      <c r="A4" s="4">
        <v>42705</v>
      </c>
      <c r="B4" s="3">
        <v>10.9</v>
      </c>
      <c r="C4">
        <v>1</v>
      </c>
      <c r="F4" s="2" t="s">
        <v>131</v>
      </c>
      <c r="G4" s="12">
        <v>44726.060000000005</v>
      </c>
    </row>
    <row r="5" spans="1:10" x14ac:dyDescent="0.3">
      <c r="A5" s="4">
        <v>42736</v>
      </c>
      <c r="B5" s="3">
        <v>120098.27</v>
      </c>
      <c r="C5">
        <v>787</v>
      </c>
      <c r="F5" s="8" t="s">
        <v>128</v>
      </c>
      <c r="G5" s="12">
        <v>207.86</v>
      </c>
    </row>
    <row r="6" spans="1:10" x14ac:dyDescent="0.3">
      <c r="A6" s="4">
        <v>42767</v>
      </c>
      <c r="B6" s="3">
        <v>244959.35</v>
      </c>
      <c r="C6">
        <v>1718</v>
      </c>
      <c r="F6" s="8" t="s">
        <v>129</v>
      </c>
      <c r="G6" s="12">
        <v>44507.3</v>
      </c>
    </row>
    <row r="7" spans="1:10" x14ac:dyDescent="0.3">
      <c r="A7" s="4">
        <v>42795</v>
      </c>
      <c r="B7" s="3">
        <v>368341.32</v>
      </c>
      <c r="C7">
        <v>2617</v>
      </c>
      <c r="F7" s="8" t="s">
        <v>119</v>
      </c>
      <c r="G7" s="12">
        <v>10.9</v>
      </c>
    </row>
    <row r="8" spans="1:10" x14ac:dyDescent="0.3">
      <c r="A8" s="4">
        <v>42826</v>
      </c>
      <c r="B8" s="3">
        <v>353842.98</v>
      </c>
      <c r="C8">
        <v>2377</v>
      </c>
      <c r="F8" s="2" t="s">
        <v>118</v>
      </c>
      <c r="G8" s="12">
        <v>6108492.2699999996</v>
      </c>
    </row>
    <row r="9" spans="1:10" x14ac:dyDescent="0.3">
      <c r="A9" s="4">
        <v>42856</v>
      </c>
      <c r="B9" s="3">
        <v>503159.19</v>
      </c>
      <c r="C9">
        <v>3640</v>
      </c>
      <c r="F9" s="8" t="s">
        <v>120</v>
      </c>
      <c r="G9" s="12">
        <v>120098.27</v>
      </c>
    </row>
    <row r="10" spans="1:10" x14ac:dyDescent="0.3">
      <c r="A10" s="4">
        <v>42887</v>
      </c>
      <c r="B10" s="3">
        <v>429916.61</v>
      </c>
      <c r="C10">
        <v>3205</v>
      </c>
      <c r="F10" s="8" t="s">
        <v>121</v>
      </c>
      <c r="G10" s="12">
        <v>244959.35</v>
      </c>
    </row>
    <row r="11" spans="1:10" x14ac:dyDescent="0.3">
      <c r="A11" s="4">
        <v>42917</v>
      </c>
      <c r="B11" s="3">
        <v>492287.3</v>
      </c>
      <c r="C11">
        <v>3946</v>
      </c>
      <c r="F11" s="8" t="s">
        <v>122</v>
      </c>
      <c r="G11" s="12">
        <v>368341.32</v>
      </c>
    </row>
    <row r="12" spans="1:10" x14ac:dyDescent="0.3">
      <c r="A12" s="4">
        <v>42948</v>
      </c>
      <c r="B12" s="3">
        <v>568245.79</v>
      </c>
      <c r="C12">
        <v>4272</v>
      </c>
      <c r="F12" s="8" t="s">
        <v>123</v>
      </c>
      <c r="G12" s="12">
        <v>353842.98</v>
      </c>
    </row>
    <row r="13" spans="1:10" x14ac:dyDescent="0.3">
      <c r="A13" s="4">
        <v>42979</v>
      </c>
      <c r="B13" s="3">
        <v>621415.91</v>
      </c>
      <c r="C13">
        <v>4227</v>
      </c>
      <c r="F13" s="8" t="s">
        <v>124</v>
      </c>
      <c r="G13" s="12">
        <v>503159.19</v>
      </c>
    </row>
    <row r="14" spans="1:10" x14ac:dyDescent="0.3">
      <c r="A14" s="4">
        <v>43009</v>
      </c>
      <c r="B14" s="3">
        <v>660179.62</v>
      </c>
      <c r="C14">
        <v>4547</v>
      </c>
      <c r="F14" s="8" t="s">
        <v>125</v>
      </c>
      <c r="G14" s="12">
        <v>429916.61</v>
      </c>
    </row>
    <row r="15" spans="1:10" x14ac:dyDescent="0.3">
      <c r="A15" s="4">
        <v>43040</v>
      </c>
      <c r="B15" s="3">
        <v>1003862.14</v>
      </c>
      <c r="C15">
        <v>7421</v>
      </c>
      <c r="F15" s="8" t="s">
        <v>126</v>
      </c>
      <c r="G15" s="12">
        <v>492287.3</v>
      </c>
      <c r="J15" s="3">
        <f>GETPIVOTDATA("Total revenue",F3:G30)</f>
        <v>13494255.739999998</v>
      </c>
    </row>
    <row r="16" spans="1:10" x14ac:dyDescent="0.3">
      <c r="A16" s="4">
        <v>43070</v>
      </c>
      <c r="B16" s="3">
        <v>742183.79</v>
      </c>
      <c r="C16">
        <v>5618</v>
      </c>
      <c r="F16" s="8" t="s">
        <v>127</v>
      </c>
      <c r="G16" s="12">
        <v>568245.79</v>
      </c>
    </row>
    <row r="17" spans="1:7" x14ac:dyDescent="0.3">
      <c r="A17" s="4">
        <v>43101</v>
      </c>
      <c r="B17" s="3">
        <v>945456.29</v>
      </c>
      <c r="C17">
        <v>7187</v>
      </c>
      <c r="F17" s="8" t="s">
        <v>128</v>
      </c>
      <c r="G17" s="12">
        <v>621415.91</v>
      </c>
    </row>
    <row r="18" spans="1:7" x14ac:dyDescent="0.3">
      <c r="A18" s="4">
        <v>43132</v>
      </c>
      <c r="B18" s="3">
        <v>837895.43</v>
      </c>
      <c r="C18">
        <v>6624</v>
      </c>
      <c r="F18" s="8" t="s">
        <v>129</v>
      </c>
      <c r="G18" s="12">
        <v>660179.62</v>
      </c>
    </row>
    <row r="19" spans="1:7" x14ac:dyDescent="0.3">
      <c r="A19" s="4">
        <v>43160</v>
      </c>
      <c r="B19" s="3">
        <v>981051.06</v>
      </c>
      <c r="C19">
        <v>7168</v>
      </c>
      <c r="F19" s="8" t="s">
        <v>130</v>
      </c>
      <c r="G19" s="12">
        <v>1003862.14</v>
      </c>
    </row>
    <row r="20" spans="1:7" x14ac:dyDescent="0.3">
      <c r="A20" s="4">
        <v>43191</v>
      </c>
      <c r="B20" s="3">
        <v>993592.98</v>
      </c>
      <c r="C20">
        <v>6919</v>
      </c>
      <c r="F20" s="8" t="s">
        <v>119</v>
      </c>
      <c r="G20" s="12">
        <v>742183.79</v>
      </c>
    </row>
    <row r="21" spans="1:7" x14ac:dyDescent="0.3">
      <c r="A21" s="4">
        <v>43221</v>
      </c>
      <c r="B21" s="3">
        <v>992871.75</v>
      </c>
      <c r="C21">
        <v>6833</v>
      </c>
      <c r="F21" s="2" t="s">
        <v>132</v>
      </c>
      <c r="G21" s="12">
        <v>7341037.4100000001</v>
      </c>
    </row>
    <row r="22" spans="1:7" x14ac:dyDescent="0.3">
      <c r="A22" s="4">
        <v>43252</v>
      </c>
      <c r="B22" s="3">
        <v>863265.53</v>
      </c>
      <c r="C22">
        <v>6145</v>
      </c>
      <c r="F22" s="8" t="s">
        <v>120</v>
      </c>
      <c r="G22" s="12">
        <v>945456.29</v>
      </c>
    </row>
    <row r="23" spans="1:7" x14ac:dyDescent="0.3">
      <c r="A23" s="4">
        <v>43282</v>
      </c>
      <c r="B23" s="3">
        <v>878044.27</v>
      </c>
      <c r="C23">
        <v>6233</v>
      </c>
      <c r="F23" s="8" t="s">
        <v>121</v>
      </c>
      <c r="G23" s="12">
        <v>837895.43</v>
      </c>
    </row>
    <row r="24" spans="1:7" x14ac:dyDescent="0.3">
      <c r="A24" s="4">
        <v>43313</v>
      </c>
      <c r="B24" s="3">
        <v>848860.1</v>
      </c>
      <c r="C24">
        <v>6421</v>
      </c>
      <c r="F24" s="8" t="s">
        <v>122</v>
      </c>
      <c r="G24" s="12">
        <v>981051.06</v>
      </c>
    </row>
    <row r="25" spans="1:7" x14ac:dyDescent="0.3">
      <c r="A25" s="4"/>
      <c r="B25" s="3"/>
      <c r="C25">
        <v>1</v>
      </c>
      <c r="F25" s="8" t="s">
        <v>123</v>
      </c>
      <c r="G25" s="12">
        <v>993592.98</v>
      </c>
    </row>
    <row r="26" spans="1:7" x14ac:dyDescent="0.3">
      <c r="F26" s="8" t="s">
        <v>124</v>
      </c>
      <c r="G26" s="12">
        <v>992871.75</v>
      </c>
    </row>
    <row r="27" spans="1:7" x14ac:dyDescent="0.3">
      <c r="F27" s="8" t="s">
        <v>125</v>
      </c>
      <c r="G27" s="12">
        <v>863265.53</v>
      </c>
    </row>
    <row r="28" spans="1:7" x14ac:dyDescent="0.3">
      <c r="F28" s="8" t="s">
        <v>126</v>
      </c>
      <c r="G28" s="12">
        <v>878044.27</v>
      </c>
    </row>
    <row r="29" spans="1:7" x14ac:dyDescent="0.3">
      <c r="F29" s="8" t="s">
        <v>127</v>
      </c>
      <c r="G29" s="12">
        <v>848860.1</v>
      </c>
    </row>
    <row r="30" spans="1:7" x14ac:dyDescent="0.3">
      <c r="F30" s="2" t="s">
        <v>107</v>
      </c>
      <c r="G30" s="12">
        <v>13494255.739999998</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AE63C4EC719544AAD2BAC2365EC140" ma:contentTypeVersion="5" ma:contentTypeDescription="Create a new document." ma:contentTypeScope="" ma:versionID="ce47e839a2b287be1e1d02e091fcd86e">
  <xsd:schema xmlns:xsd="http://www.w3.org/2001/XMLSchema" xmlns:xs="http://www.w3.org/2001/XMLSchema" xmlns:p="http://schemas.microsoft.com/office/2006/metadata/properties" xmlns:ns3="7dfd8ef2-a57c-4ec7-992b-1e67ea78f6be" targetNamespace="http://schemas.microsoft.com/office/2006/metadata/properties" ma:root="true" ma:fieldsID="2202ea9c9a0cada5559dc136a0ec4b82" ns3:_="">
    <xsd:import namespace="7dfd8ef2-a57c-4ec7-992b-1e67ea78f6b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d8ef2-a57c-4ec7-992b-1e67ea78f6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41BB7834-E360-4F11-97C8-26553B6D0818}">
  <ds:schemaRefs>
    <ds:schemaRef ds:uri="http://schemas.microsoft.com/sharepoint/v3/contenttype/forms"/>
  </ds:schemaRefs>
</ds:datastoreItem>
</file>

<file path=customXml/itemProps2.xml><?xml version="1.0" encoding="utf-8"?>
<ds:datastoreItem xmlns:ds="http://schemas.openxmlformats.org/officeDocument/2006/customXml" ds:itemID="{C621EFB3-457D-41C5-91BC-6DB9A63D11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fd8ef2-a57c-4ec7-992b-1e67ea78f6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4421C0-A08B-412B-A053-95E0C6A36AD4}">
  <ds:schemaRef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 ds:uri="http://purl.org/dc/elements/1.1/"/>
    <ds:schemaRef ds:uri="7dfd8ef2-a57c-4ec7-992b-1e67ea78f6be"/>
    <ds:schemaRef ds:uri="http://schemas.openxmlformats.org/package/2006/metadata/core-properties"/>
  </ds:schemaRefs>
</ds:datastoreItem>
</file>

<file path=customXml/itemProps4.xml><?xml version="1.0" encoding="utf-8"?>
<ds:datastoreItem xmlns:ds="http://schemas.openxmlformats.org/officeDocument/2006/customXml" ds:itemID="{D6B7C6EC-D13E-4E09-A162-BBA360DC41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DASHBOARD</vt:lpstr>
      <vt:lpstr>sales_per_category_</vt:lpstr>
      <vt:lpstr>sales_per_customer_region_</vt:lpstr>
      <vt:lpstr>sales_per_seller_region_</vt:lpstr>
      <vt:lpstr>Pivot table Category Region</vt:lpstr>
      <vt:lpstr>Dashboard</vt:lpstr>
      <vt:lpstr>Sales_per_Category_Region_</vt:lpstr>
      <vt:lpstr>Monthly_Sales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 NTULI</dc:creator>
  <cp:lastModifiedBy>MUSA NTULI</cp:lastModifiedBy>
  <dcterms:created xsi:type="dcterms:W3CDTF">2026-06-22T10:58:59Z</dcterms:created>
  <dcterms:modified xsi:type="dcterms:W3CDTF">2026-06-30T07:14:59Z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0x01010002AE63C4EC719544AAD2BAC2365EC140</vt:lpwstr>
  </property>
</Properties>
</file>